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zayniyev\Documents\Scripts\Segmentation data for analysis\"/>
    </mc:Choice>
  </mc:AlternateContent>
  <xr:revisionPtr revIDLastSave="0" documentId="13_ncr:1_{8620E9CF-C6AB-402F-B668-A354075917B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24" i="1" l="1"/>
  <c r="S33" i="1"/>
  <c r="T33" i="1"/>
  <c r="U33" i="1"/>
  <c r="V33" i="1"/>
  <c r="W33" i="1"/>
  <c r="X33" i="1"/>
  <c r="Y33" i="1"/>
  <c r="Z33" i="1"/>
  <c r="AA33" i="1"/>
  <c r="AB33" i="1"/>
  <c r="AC33" i="1"/>
  <c r="AD33" i="1"/>
  <c r="R33" i="1"/>
  <c r="E33" i="1"/>
  <c r="F33" i="1"/>
  <c r="G33" i="1"/>
  <c r="H33" i="1"/>
  <c r="I33" i="1"/>
  <c r="J33" i="1"/>
  <c r="K33" i="1"/>
  <c r="L33" i="1"/>
  <c r="M33" i="1"/>
  <c r="N33" i="1"/>
  <c r="O33" i="1"/>
  <c r="P33" i="1"/>
  <c r="D33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B19" i="1"/>
</calcChain>
</file>

<file path=xl/sharedStrings.xml><?xml version="1.0" encoding="utf-8"?>
<sst xmlns="http://schemas.openxmlformats.org/spreadsheetml/2006/main" count="134" uniqueCount="40">
  <si>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</si>
  <si>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</si>
  <si>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</si>
  <si>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</si>
  <si>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</si>
  <si>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</si>
  <si>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</si>
  <si>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</si>
  <si>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</si>
  <si>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</si>
  <si>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</si>
  <si>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</si>
  <si>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</si>
  <si>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</si>
  <si>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clients</t>
  </si>
  <si>
    <t>turnover</t>
  </si>
  <si>
    <t>npl</t>
  </si>
  <si>
    <t>overdue_debt</t>
  </si>
  <si>
    <t>loan_amnt</t>
  </si>
  <si>
    <t>loan_rest</t>
  </si>
  <si>
    <t>weak_corp</t>
  </si>
  <si>
    <t>МСБ</t>
  </si>
  <si>
    <t>m_re_exit</t>
  </si>
  <si>
    <t>КОРП</t>
  </si>
  <si>
    <t>k_closed</t>
  </si>
  <si>
    <t>k_in_closed</t>
  </si>
  <si>
    <t>m_in_closed</t>
  </si>
  <si>
    <t>m_closed</t>
  </si>
  <si>
    <t>m_exit</t>
  </si>
  <si>
    <t>m_entry</t>
  </si>
  <si>
    <t>МСБ-&gt;КОРП</t>
  </si>
  <si>
    <t>k_entry</t>
  </si>
  <si>
    <t>m_re_entry</t>
  </si>
  <si>
    <t>КОРП-&gt;МСБ</t>
  </si>
  <si>
    <t>k_re_entry</t>
  </si>
  <si>
    <t>k_exit</t>
  </si>
  <si>
    <t>k_re_exit</t>
  </si>
  <si>
    <t>inactive</t>
  </si>
  <si>
    <t>clients_number</t>
  </si>
  <si>
    <t>overdue_debt_bn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</si>
</sst>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/yy;@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Fill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0" fontId="2" fillId="0" borderId="0" xfId="0" applyFont="1" applyBorder="1"/>
    <xf numFmtId="0" fontId="2" fillId="0" borderId="7" xfId="0" applyFont="1" applyBorder="1"/>
    <xf numFmtId="0" fontId="2" fillId="0" borderId="2" xfId="0" applyFont="1" applyBorder="1"/>
    <xf numFmtId="3" fontId="2" fillId="0" borderId="7" xfId="0" applyNumberFormat="1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7" xfId="0" applyFont="1" applyBorder="1"/>
    <xf numFmtId="3" fontId="1" fillId="0" borderId="7" xfId="0" applyNumberFormat="1" applyFont="1" applyBorder="1"/>
    <xf numFmtId="164" fontId="0" fillId="0" borderId="4" xfId="0" applyNumberFormat="1" applyBorder="1"/>
    <xf numFmtId="164" fontId="0" fillId="0" borderId="0" xfId="0" applyNumberFormat="1"/>
    <xf numFmtId="164" fontId="0" fillId="0" borderId="5" xfId="0" applyNumberFormat="1" applyBorder="1"/>
    <xf numFmtId="164" fontId="0" fillId="0" borderId="0" xfId="0" applyNumberFormat="1" applyBorder="1"/>
    <xf numFmtId="0" fontId="0" fillId="0" borderId="12" xfId="0" applyBorder="1"/>
    <xf numFmtId="0" fontId="3" fillId="0" borderId="0" xfId="0" applyFont="1" applyBorder="1"/>
    <xf numFmtId="0" fontId="3" fillId="0" borderId="7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/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0"/>
  <sheetViews>
    <sheetView tabSelected="1" workbookViewId="0">
      <pane xSplit="1" topLeftCell="O1" activePane="topRight" state="frozen"/>
      <selection pane="topRight" activeCell="A18" sqref="A18"/>
    </sheetView>
  </sheetViews>
  <sheetFormatPr defaultRowHeight="15" x14ac:dyDescent="0.25"/>
  <cols>
    <col min="1" max="1" width="12.140625" bestFit="1" customWidth="1"/>
    <col min="2" max="2" width="8.140625" bestFit="1" customWidth="1"/>
    <col min="3" max="3" width="9" bestFit="1" customWidth="1"/>
    <col min="4" max="4" width="7" bestFit="1" customWidth="1"/>
    <col min="5" max="5" width="13.7109375" bestFit="1" customWidth="1"/>
    <col min="6" max="6" width="10.42578125" bestFit="1" customWidth="1"/>
    <col min="7" max="7" width="9.28515625" bestFit="1" customWidth="1"/>
    <col min="8" max="8" width="10.5703125" bestFit="1" customWidth="1"/>
    <col min="9" max="9" width="6.85546875" bestFit="1" customWidth="1"/>
    <col min="10" max="10" width="9" bestFit="1" customWidth="1"/>
    <col min="11" max="11" width="7" bestFit="1" customWidth="1"/>
    <col min="12" max="12" width="13.7109375" bestFit="1" customWidth="1"/>
    <col min="13" max="13" width="10.42578125" bestFit="1" customWidth="1"/>
    <col min="14" max="14" width="9.28515625" bestFit="1" customWidth="1"/>
    <col min="15" max="15" width="10.5703125" bestFit="1" customWidth="1"/>
    <col min="16" max="16" width="6.85546875" bestFit="1" customWidth="1"/>
    <col min="17" max="17" width="9" bestFit="1" customWidth="1"/>
    <col min="18" max="18" width="8" bestFit="1" customWidth="1"/>
    <col min="19" max="19" width="13.7109375" bestFit="1" customWidth="1"/>
    <col min="20" max="20" width="10.42578125" bestFit="1" customWidth="1"/>
    <col min="21" max="21" width="9.28515625" bestFit="1" customWidth="1"/>
    <col min="22" max="22" width="10.5703125" bestFit="1" customWidth="1"/>
    <col min="23" max="23" width="6.85546875" bestFit="1" customWidth="1"/>
    <col min="24" max="24" width="9" bestFit="1" customWidth="1"/>
    <col min="25" max="25" width="8" bestFit="1" customWidth="1"/>
    <col min="26" max="26" width="13.7109375" bestFit="1" customWidth="1"/>
    <col min="27" max="27" width="10.42578125" bestFit="1" customWidth="1"/>
    <col min="28" max="28" width="9.28515625" bestFit="1" customWidth="1"/>
    <col min="29" max="29" width="10.5703125" bestFit="1" customWidth="1"/>
    <col min="30" max="30" width="6.85546875" bestFit="1" customWidth="1"/>
    <col min="31" max="31" width="8.7109375" bestFit="1" customWidth="1"/>
    <col min="32" max="32" width="4" bestFit="1" customWidth="1"/>
    <col min="33" max="33" width="13.7109375" bestFit="1" customWidth="1"/>
    <col min="34" max="34" width="10.42578125" bestFit="1" customWidth="1"/>
    <col min="35" max="35" width="9.28515625" bestFit="1" customWidth="1"/>
    <col min="36" max="36" width="10.5703125" bestFit="1" customWidth="1"/>
    <col min="37" max="37" width="6.85546875" bestFit="1" customWidth="1"/>
    <col min="38" max="38" width="9" bestFit="1" customWidth="1"/>
    <col min="39" max="39" width="4" bestFit="1" customWidth="1"/>
    <col min="40" max="40" width="13.7109375" bestFit="1" customWidth="1"/>
    <col min="41" max="41" width="10.42578125" bestFit="1" customWidth="1"/>
    <col min="42" max="42" width="9.28515625" bestFit="1" customWidth="1"/>
    <col min="43" max="43" width="10.5703125" bestFit="1" customWidth="1"/>
    <col min="44" max="44" width="6.85546875" bestFit="1" customWidth="1"/>
    <col min="45" max="45" width="9" bestFit="1" customWidth="1"/>
    <col min="46" max="46" width="8.42578125" bestFit="1" customWidth="1"/>
    <col min="47" max="47" width="13.7109375" bestFit="1" customWidth="1"/>
    <col min="48" max="48" width="10.42578125" bestFit="1" customWidth="1"/>
    <col min="49" max="49" width="9.28515625" bestFit="1" customWidth="1"/>
    <col min="50" max="50" width="10.5703125" bestFit="1" customWidth="1"/>
    <col min="51" max="51" width="6.85546875" bestFit="1" customWidth="1"/>
    <col min="52" max="52" width="9" bestFit="1" customWidth="1"/>
    <col min="53" max="53" width="4" bestFit="1" customWidth="1"/>
    <col min="54" max="54" width="13.7109375" bestFit="1" customWidth="1"/>
    <col min="55" max="55" width="10.42578125" bestFit="1" customWidth="1"/>
    <col min="56" max="56" width="9.28515625" bestFit="1" customWidth="1"/>
    <col min="57" max="57" width="10.5703125" bestFit="1" customWidth="1"/>
    <col min="58" max="58" width="6.85546875" bestFit="1" customWidth="1"/>
    <col min="59" max="59" width="9" bestFit="1" customWidth="1"/>
    <col min="60" max="60" width="4" bestFit="1" customWidth="1"/>
    <col min="61" max="61" width="13.7109375" bestFit="1" customWidth="1"/>
    <col min="62" max="62" width="10.42578125" bestFit="1" customWidth="1"/>
    <col min="63" max="63" width="9.28515625" bestFit="1" customWidth="1"/>
    <col min="64" max="64" width="10.5703125" bestFit="1" customWidth="1"/>
    <col min="65" max="65" width="6.85546875" bestFit="1" customWidth="1"/>
    <col min="66" max="66" width="9" bestFit="1" customWidth="1"/>
    <col min="67" max="67" width="4" bestFit="1" customWidth="1"/>
    <col min="68" max="68" width="13.7109375" bestFit="1" customWidth="1"/>
    <col min="69" max="69" width="10.42578125" bestFit="1" customWidth="1"/>
    <col min="70" max="70" width="9.28515625" bestFit="1" customWidth="1"/>
    <col min="71" max="71" width="10.5703125" bestFit="1" customWidth="1"/>
    <col min="72" max="72" width="6.85546875" bestFit="1" customWidth="1"/>
    <col min="73" max="73" width="9" bestFit="1" customWidth="1"/>
    <col min="74" max="74" width="4" bestFit="1" customWidth="1"/>
    <col min="75" max="75" width="13.7109375" bestFit="1" customWidth="1"/>
    <col min="76" max="76" width="10.42578125" bestFit="1" customWidth="1"/>
    <col min="77" max="77" width="9.28515625" bestFit="1" customWidth="1"/>
    <col min="78" max="78" width="10.5703125" bestFit="1" customWidth="1"/>
    <col min="79" max="79" width="6.85546875" bestFit="1" customWidth="1"/>
    <col min="80" max="80" width="9" bestFit="1" customWidth="1"/>
    <col min="81" max="81" width="4" bestFit="1" customWidth="1"/>
    <col min="82" max="82" width="13.7109375" bestFit="1" customWidth="1"/>
    <col min="83" max="83" width="10.42578125" bestFit="1" customWidth="1"/>
    <col min="84" max="84" width="9.28515625" bestFit="1" customWidth="1"/>
    <col min="85" max="85" width="10.5703125" bestFit="1" customWidth="1"/>
    <col min="86" max="86" width="6.85546875" bestFit="1" customWidth="1"/>
    <col min="87" max="87" width="8.7109375" bestFit="1" customWidth="1"/>
    <col min="88" max="88" width="4" bestFit="1" customWidth="1"/>
    <col min="89" max="89" width="13.7109375" bestFit="1" customWidth="1"/>
    <col min="90" max="90" width="10.42578125" bestFit="1" customWidth="1"/>
    <col min="91" max="91" width="9.28515625" bestFit="1" customWidth="1"/>
    <col min="92" max="92" width="10.5703125" bestFit="1" customWidth="1"/>
    <col min="93" max="93" width="6.85546875" bestFit="1" customWidth="1"/>
    <col min="94" max="94" width="9" bestFit="1" customWidth="1"/>
    <col min="95" max="95" width="4" bestFit="1" customWidth="1"/>
    <col min="96" max="96" width="13.7109375" bestFit="1" customWidth="1"/>
    <col min="97" max="97" width="10.42578125" bestFit="1" customWidth="1"/>
    <col min="98" max="98" width="9.28515625" bestFit="1" customWidth="1"/>
    <col min="99" max="99" width="10.5703125" bestFit="1" customWidth="1"/>
  </cols>
  <sheetData>
    <row r="1" spans="1:99" x14ac:dyDescent="0.25">
      <c r="B1" s="33" t="s">
        <v>0</v>
      </c>
      <c r="C1" s="34"/>
      <c r="D1" s="34"/>
      <c r="E1" s="34"/>
      <c r="F1" s="34"/>
      <c r="G1" s="34"/>
      <c r="H1" s="35"/>
      <c r="I1" s="33" t="s">
        <v>1</v>
      </c>
      <c r="J1" s="34"/>
      <c r="K1" s="34"/>
      <c r="L1" s="34"/>
      <c r="M1" s="34"/>
      <c r="N1" s="34"/>
      <c r="O1" s="35"/>
      <c r="P1" s="33" t="s">
        <v>2</v>
      </c>
      <c r="Q1" s="34"/>
      <c r="R1" s="34"/>
      <c r="S1" s="34"/>
      <c r="T1" s="34"/>
      <c r="U1" s="34"/>
      <c r="V1" s="35"/>
      <c r="W1" s="33" t="s">
        <v>3</v>
      </c>
      <c r="X1" s="34"/>
      <c r="Y1" s="34"/>
      <c r="Z1" s="34"/>
      <c r="AA1" s="34"/>
      <c r="AB1" s="34"/>
      <c r="AC1" s="35"/>
      <c r="AD1" s="33" t="s">
        <v>4</v>
      </c>
      <c r="AE1" s="34"/>
      <c r="AF1" s="34"/>
      <c r="AG1" s="34"/>
      <c r="AH1" s="34"/>
      <c r="AI1" s="34"/>
      <c r="AJ1" s="34"/>
      <c r="AK1" s="33" t="s">
        <v>5</v>
      </c>
      <c r="AL1" s="34"/>
      <c r="AM1" s="34"/>
      <c r="AN1" s="34"/>
      <c r="AO1" s="34"/>
      <c r="AP1" s="34"/>
      <c r="AQ1" s="34"/>
      <c r="AR1" s="33" t="s">
        <v>6</v>
      </c>
      <c r="AS1" s="34"/>
      <c r="AT1" s="34"/>
      <c r="AU1" s="34"/>
      <c r="AV1" s="34"/>
      <c r="AW1" s="34"/>
      <c r="AX1" s="35"/>
      <c r="AY1" s="33" t="s">
        <v>7</v>
      </c>
      <c r="AZ1" s="34"/>
      <c r="BA1" s="34"/>
      <c r="BB1" s="34"/>
      <c r="BC1" s="34"/>
      <c r="BD1" s="34"/>
      <c r="BE1" s="35"/>
      <c r="BF1" s="33" t="s">
        <v>8</v>
      </c>
      <c r="BG1" s="34"/>
      <c r="BH1" s="34"/>
      <c r="BI1" s="34"/>
      <c r="BJ1" s="34"/>
      <c r="BK1" s="34"/>
      <c r="BL1" s="35"/>
      <c r="BM1" s="33" t="s">
        <v>9</v>
      </c>
      <c r="BN1" s="34"/>
      <c r="BO1" s="34"/>
      <c r="BP1" s="34"/>
      <c r="BQ1" s="34"/>
      <c r="BR1" s="34"/>
      <c r="BS1" s="35"/>
      <c r="BT1" s="33" t="s">
        <v>10</v>
      </c>
      <c r="BU1" s="34"/>
      <c r="BV1" s="34"/>
      <c r="BW1" s="34"/>
      <c r="BX1" s="34"/>
      <c r="BY1" s="34"/>
      <c r="BZ1" s="35"/>
      <c r="CA1" s="33" t="s">
        <v>11</v>
      </c>
      <c r="CB1" s="34"/>
      <c r="CC1" s="34"/>
      <c r="CD1" s="34"/>
      <c r="CE1" s="34"/>
      <c r="CF1" s="34"/>
      <c r="CG1" s="35"/>
      <c r="CH1" s="33" t="s">
        <v>12</v>
      </c>
      <c r="CI1" s="34"/>
      <c r="CJ1" s="34"/>
      <c r="CK1" s="34"/>
      <c r="CL1" s="34"/>
      <c r="CM1" s="34"/>
      <c r="CN1" s="35"/>
      <c r="CO1" s="33" t="s">
        <v>13</v>
      </c>
      <c r="CP1" s="34"/>
      <c r="CQ1" s="34"/>
      <c r="CR1" s="34"/>
      <c r="CS1" s="34"/>
      <c r="CT1" s="34"/>
      <c r="CU1" s="35"/>
    </row>
    <row r="2" spans="1:99" x14ac:dyDescent="0.25">
      <c r="B2" s="1" t="s">
        <v>14</v>
      </c>
      <c r="C2" s="2" t="s">
        <v>15</v>
      </c>
      <c r="D2" s="18" t="s">
        <v>16</v>
      </c>
      <c r="E2" s="2" t="s">
        <v>17</v>
      </c>
      <c r="F2" s="2" t="s">
        <v>18</v>
      </c>
      <c r="G2" s="2" t="s">
        <v>19</v>
      </c>
      <c r="H2" s="3" t="s">
        <v>20</v>
      </c>
      <c r="I2" s="1" t="s">
        <v>14</v>
      </c>
      <c r="J2" s="2" t="s">
        <v>15</v>
      </c>
      <c r="K2" s="18" t="s">
        <v>16</v>
      </c>
      <c r="L2" s="2" t="s">
        <v>17</v>
      </c>
      <c r="M2" s="2" t="s">
        <v>18</v>
      </c>
      <c r="N2" s="2" t="s">
        <v>19</v>
      </c>
      <c r="O2" s="3" t="s">
        <v>20</v>
      </c>
      <c r="P2" s="1" t="s">
        <v>14</v>
      </c>
      <c r="Q2" s="2" t="s">
        <v>15</v>
      </c>
      <c r="R2" s="18" t="s">
        <v>16</v>
      </c>
      <c r="S2" s="2" t="s">
        <v>17</v>
      </c>
      <c r="T2" s="2" t="s">
        <v>18</v>
      </c>
      <c r="U2" s="2" t="s">
        <v>19</v>
      </c>
      <c r="V2" s="3" t="s">
        <v>20</v>
      </c>
      <c r="W2" s="1" t="s">
        <v>14</v>
      </c>
      <c r="X2" s="2" t="s">
        <v>15</v>
      </c>
      <c r="Y2" s="18" t="s">
        <v>16</v>
      </c>
      <c r="Z2" s="2" t="s">
        <v>17</v>
      </c>
      <c r="AA2" s="2" t="s">
        <v>18</v>
      </c>
      <c r="AB2" s="2" t="s">
        <v>19</v>
      </c>
      <c r="AC2" s="3" t="s">
        <v>20</v>
      </c>
      <c r="AD2" s="1" t="s">
        <v>14</v>
      </c>
      <c r="AE2" s="2" t="s">
        <v>15</v>
      </c>
      <c r="AF2" s="18" t="s">
        <v>16</v>
      </c>
      <c r="AG2" s="2" t="s">
        <v>17</v>
      </c>
      <c r="AH2" s="2" t="s">
        <v>18</v>
      </c>
      <c r="AI2" s="2" t="s">
        <v>19</v>
      </c>
      <c r="AJ2" s="2" t="s">
        <v>20</v>
      </c>
      <c r="AK2" s="1" t="s">
        <v>14</v>
      </c>
      <c r="AL2" s="2" t="s">
        <v>15</v>
      </c>
      <c r="AM2" s="14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1" t="s">
        <v>14</v>
      </c>
      <c r="AS2" s="2" t="s">
        <v>15</v>
      </c>
      <c r="AT2" s="18" t="s">
        <v>16</v>
      </c>
      <c r="AU2" s="2" t="s">
        <v>17</v>
      </c>
      <c r="AV2" s="2" t="s">
        <v>18</v>
      </c>
      <c r="AW2" s="2" t="s">
        <v>19</v>
      </c>
      <c r="AX2" s="3" t="s">
        <v>20</v>
      </c>
      <c r="AY2" s="1" t="s">
        <v>14</v>
      </c>
      <c r="AZ2" s="2" t="s">
        <v>15</v>
      </c>
      <c r="BA2" s="18" t="s">
        <v>16</v>
      </c>
      <c r="BB2" s="2" t="s">
        <v>17</v>
      </c>
      <c r="BC2" s="2" t="s">
        <v>18</v>
      </c>
      <c r="BD2" s="2" t="s">
        <v>19</v>
      </c>
      <c r="BE2" s="3" t="s">
        <v>20</v>
      </c>
      <c r="BF2" s="1" t="s">
        <v>14</v>
      </c>
      <c r="BG2" s="2" t="s">
        <v>15</v>
      </c>
      <c r="BH2" s="18" t="s">
        <v>16</v>
      </c>
      <c r="BI2" s="2" t="s">
        <v>17</v>
      </c>
      <c r="BJ2" s="2" t="s">
        <v>18</v>
      </c>
      <c r="BK2" s="2" t="s">
        <v>19</v>
      </c>
      <c r="BL2" s="3" t="s">
        <v>20</v>
      </c>
      <c r="BM2" s="1" t="s">
        <v>14</v>
      </c>
      <c r="BN2" s="2" t="s">
        <v>15</v>
      </c>
      <c r="BO2" s="18" t="s">
        <v>16</v>
      </c>
      <c r="BP2" s="2" t="s">
        <v>17</v>
      </c>
      <c r="BQ2" s="2" t="s">
        <v>18</v>
      </c>
      <c r="BR2" s="2" t="s">
        <v>19</v>
      </c>
      <c r="BS2" s="3" t="s">
        <v>20</v>
      </c>
      <c r="BT2" s="1" t="s">
        <v>14</v>
      </c>
      <c r="BU2" s="2" t="s">
        <v>15</v>
      </c>
      <c r="BV2" s="18" t="s">
        <v>16</v>
      </c>
      <c r="BW2" s="2" t="s">
        <v>17</v>
      </c>
      <c r="BX2" s="2" t="s">
        <v>18</v>
      </c>
      <c r="BY2" s="2" t="s">
        <v>19</v>
      </c>
      <c r="BZ2" s="3" t="s">
        <v>20</v>
      </c>
      <c r="CA2" s="1" t="s">
        <v>14</v>
      </c>
      <c r="CB2" s="2" t="s">
        <v>15</v>
      </c>
      <c r="CC2" s="18" t="s">
        <v>16</v>
      </c>
      <c r="CD2" s="2" t="s">
        <v>17</v>
      </c>
      <c r="CE2" s="2" t="s">
        <v>18</v>
      </c>
      <c r="CF2" s="2" t="s">
        <v>19</v>
      </c>
      <c r="CG2" s="3" t="s">
        <v>20</v>
      </c>
      <c r="CH2" s="1" t="s">
        <v>14</v>
      </c>
      <c r="CI2" s="2" t="s">
        <v>15</v>
      </c>
      <c r="CJ2" s="18" t="s">
        <v>16</v>
      </c>
      <c r="CK2" s="2" t="s">
        <v>17</v>
      </c>
      <c r="CL2" s="2" t="s">
        <v>18</v>
      </c>
      <c r="CM2" s="2" t="s">
        <v>19</v>
      </c>
      <c r="CN2" s="3" t="s">
        <v>20</v>
      </c>
      <c r="CO2" s="1" t="s">
        <v>14</v>
      </c>
      <c r="CP2" s="2" t="s">
        <v>15</v>
      </c>
      <c r="CQ2" s="18" t="s">
        <v>16</v>
      </c>
      <c r="CR2" s="2" t="s">
        <v>17</v>
      </c>
      <c r="CS2" s="2" t="s">
        <v>18</v>
      </c>
      <c r="CT2" s="2" t="s">
        <v>19</v>
      </c>
      <c r="CU2" s="3" t="s">
        <v>20</v>
      </c>
    </row>
    <row r="3" spans="1:99" x14ac:dyDescent="0.25">
      <c r="A3" t="s">
        <v>23</v>
      </c>
      <c r="B3" s="1">
        <v>2059</v>
      </c>
      <c r="C3" s="2">
        <v>34635.14</v>
      </c>
      <c r="D3" s="18">
        <v>149</v>
      </c>
      <c r="E3" s="2">
        <v>1935.68</v>
      </c>
      <c r="F3" s="2">
        <v>43083.21</v>
      </c>
      <c r="G3" s="2">
        <v>30264.58</v>
      </c>
      <c r="H3" s="3">
        <v>1114</v>
      </c>
      <c r="I3" s="1">
        <v>1960</v>
      </c>
      <c r="J3" s="2">
        <v>34426.46</v>
      </c>
      <c r="K3" s="18">
        <v>159</v>
      </c>
      <c r="L3" s="2">
        <v>2229.56</v>
      </c>
      <c r="M3" s="2">
        <v>42480.959999999999</v>
      </c>
      <c r="N3" s="2">
        <v>27961.7</v>
      </c>
      <c r="O3" s="3">
        <v>1025</v>
      </c>
      <c r="P3" s="1">
        <v>2052</v>
      </c>
      <c r="Q3" s="2">
        <v>35178.68</v>
      </c>
      <c r="R3" s="18">
        <v>153</v>
      </c>
      <c r="S3" s="2">
        <v>2511.3000000000002</v>
      </c>
      <c r="T3" s="2">
        <v>40694.5</v>
      </c>
      <c r="U3" s="2">
        <v>26259.75</v>
      </c>
      <c r="V3" s="3">
        <v>1071</v>
      </c>
      <c r="W3" s="1">
        <v>2048</v>
      </c>
      <c r="X3" s="2">
        <v>39939.08</v>
      </c>
      <c r="Y3" s="18">
        <v>155</v>
      </c>
      <c r="Z3" s="2">
        <v>2681.86</v>
      </c>
      <c r="AA3" s="2">
        <v>43035.54</v>
      </c>
      <c r="AB3" s="2">
        <v>25594.93</v>
      </c>
      <c r="AC3" s="3">
        <v>1061</v>
      </c>
      <c r="AD3" s="1">
        <v>2129</v>
      </c>
      <c r="AE3" s="2">
        <v>41502.899999999987</v>
      </c>
      <c r="AF3" s="18">
        <v>158</v>
      </c>
      <c r="AG3" s="2">
        <v>2913.93</v>
      </c>
      <c r="AH3" s="2">
        <v>43670.259999999987</v>
      </c>
      <c r="AI3" s="2">
        <v>29104.57</v>
      </c>
      <c r="AJ3" s="2">
        <v>1110</v>
      </c>
      <c r="AK3" s="1">
        <v>1908</v>
      </c>
      <c r="AL3" s="2">
        <v>42967.81</v>
      </c>
      <c r="AM3" s="14">
        <v>52</v>
      </c>
      <c r="AN3" s="2">
        <v>2548.69</v>
      </c>
      <c r="AO3" s="2">
        <v>42979.079999999987</v>
      </c>
      <c r="AP3" s="2">
        <v>27722.920000000009</v>
      </c>
      <c r="AQ3" s="2">
        <v>842</v>
      </c>
      <c r="AR3" s="1">
        <v>1357</v>
      </c>
      <c r="AS3" s="2">
        <v>51272.21</v>
      </c>
      <c r="AT3" s="18">
        <v>17</v>
      </c>
      <c r="AU3" s="2">
        <v>1708.9</v>
      </c>
      <c r="AV3" s="2">
        <v>42320.94</v>
      </c>
      <c r="AW3" s="2">
        <v>27790.74</v>
      </c>
      <c r="AX3" s="3">
        <v>261</v>
      </c>
      <c r="AY3" s="1">
        <v>1618</v>
      </c>
      <c r="AZ3" s="2">
        <v>48439.58</v>
      </c>
      <c r="BA3" s="18">
        <v>15</v>
      </c>
      <c r="BB3" s="2">
        <v>1232.05</v>
      </c>
      <c r="BC3" s="2">
        <v>42685.9</v>
      </c>
      <c r="BD3" s="2">
        <v>27010.99</v>
      </c>
      <c r="BE3" s="3">
        <v>368</v>
      </c>
      <c r="BF3" s="1">
        <v>1636</v>
      </c>
      <c r="BG3" s="2">
        <v>45988.02</v>
      </c>
      <c r="BH3" s="18">
        <v>18</v>
      </c>
      <c r="BI3" s="2">
        <v>1341.01</v>
      </c>
      <c r="BJ3" s="2">
        <v>44425.850000000013</v>
      </c>
      <c r="BK3" s="2">
        <v>28354.33</v>
      </c>
      <c r="BL3" s="3">
        <v>366</v>
      </c>
      <c r="BM3" s="1">
        <v>1652</v>
      </c>
      <c r="BN3" s="2">
        <v>50419.69</v>
      </c>
      <c r="BO3" s="18">
        <v>20</v>
      </c>
      <c r="BP3" s="2">
        <v>2512.9499999999998</v>
      </c>
      <c r="BQ3" s="2">
        <v>45045.68</v>
      </c>
      <c r="BR3" s="2">
        <v>32328.87</v>
      </c>
      <c r="BS3" s="3">
        <v>359</v>
      </c>
      <c r="BT3" s="1">
        <v>1676</v>
      </c>
      <c r="BU3" s="2">
        <v>44722.78</v>
      </c>
      <c r="BV3" s="18">
        <v>22</v>
      </c>
      <c r="BW3" s="2">
        <v>2363.0100000000002</v>
      </c>
      <c r="BX3" s="2">
        <v>46873.94</v>
      </c>
      <c r="BY3" s="2">
        <v>34038.400000000001</v>
      </c>
      <c r="BZ3" s="3">
        <v>356</v>
      </c>
      <c r="CA3" s="1">
        <v>1691</v>
      </c>
      <c r="CB3" s="2">
        <v>61599.03</v>
      </c>
      <c r="CC3" s="18">
        <v>20</v>
      </c>
      <c r="CD3" s="2">
        <v>2240.2600000000002</v>
      </c>
      <c r="CE3" s="2">
        <v>49425.72</v>
      </c>
      <c r="CF3" s="2">
        <v>34201.58</v>
      </c>
      <c r="CG3" s="3">
        <v>353</v>
      </c>
      <c r="CH3" s="1">
        <v>1630</v>
      </c>
      <c r="CI3" s="2">
        <v>41868.300000000003</v>
      </c>
      <c r="CJ3" s="18">
        <v>19</v>
      </c>
      <c r="CK3" s="2">
        <v>1324.52</v>
      </c>
      <c r="CL3" s="2">
        <v>45827.97</v>
      </c>
      <c r="CM3" s="2">
        <v>31464.78</v>
      </c>
      <c r="CN3" s="3">
        <v>274</v>
      </c>
      <c r="CO3" s="1">
        <v>1600</v>
      </c>
      <c r="CP3" s="2">
        <v>43558.420000000013</v>
      </c>
      <c r="CQ3" s="18">
        <v>22</v>
      </c>
      <c r="CR3" s="2">
        <v>1390.24</v>
      </c>
      <c r="CS3" s="2">
        <v>51021.760000000002</v>
      </c>
      <c r="CT3" s="2">
        <v>34656.949999999997</v>
      </c>
      <c r="CU3" s="3">
        <v>236</v>
      </c>
    </row>
    <row r="4" spans="1:99" x14ac:dyDescent="0.25">
      <c r="A4" t="s">
        <v>31</v>
      </c>
      <c r="B4" s="1">
        <v>0</v>
      </c>
      <c r="C4" s="2">
        <v>0</v>
      </c>
      <c r="D4" s="18">
        <v>0</v>
      </c>
      <c r="E4" s="2">
        <v>0</v>
      </c>
      <c r="F4" s="2">
        <v>0</v>
      </c>
      <c r="G4" s="2">
        <v>0</v>
      </c>
      <c r="H4" s="3">
        <v>0</v>
      </c>
      <c r="I4" s="1">
        <v>39</v>
      </c>
      <c r="J4" s="2">
        <v>206.06</v>
      </c>
      <c r="K4" s="18">
        <v>0</v>
      </c>
      <c r="L4" s="2">
        <v>0</v>
      </c>
      <c r="M4" s="2">
        <v>2707.1</v>
      </c>
      <c r="N4" s="2">
        <v>1102.03</v>
      </c>
      <c r="O4" s="3">
        <v>20</v>
      </c>
      <c r="P4" s="1">
        <v>0</v>
      </c>
      <c r="Q4" s="2">
        <v>0</v>
      </c>
      <c r="R4" s="18">
        <v>0</v>
      </c>
      <c r="S4" s="2">
        <v>0</v>
      </c>
      <c r="T4" s="2">
        <v>0</v>
      </c>
      <c r="U4" s="2">
        <v>0</v>
      </c>
      <c r="V4" s="3">
        <v>0</v>
      </c>
      <c r="W4" s="1">
        <v>35</v>
      </c>
      <c r="X4" s="2">
        <v>82.2</v>
      </c>
      <c r="Y4" s="18">
        <v>0</v>
      </c>
      <c r="Z4" s="2">
        <v>0</v>
      </c>
      <c r="AA4" s="2">
        <v>135.53</v>
      </c>
      <c r="AB4" s="2">
        <v>57.929999999999993</v>
      </c>
      <c r="AC4" s="3">
        <v>21</v>
      </c>
      <c r="AD4" s="1">
        <v>44</v>
      </c>
      <c r="AE4" s="2">
        <v>130.62</v>
      </c>
      <c r="AF4" s="18">
        <v>0</v>
      </c>
      <c r="AG4" s="2">
        <v>0</v>
      </c>
      <c r="AH4" s="2">
        <v>853.7</v>
      </c>
      <c r="AI4" s="2">
        <v>459.66</v>
      </c>
      <c r="AJ4" s="2">
        <v>16</v>
      </c>
      <c r="AK4" s="1">
        <v>32</v>
      </c>
      <c r="AL4" s="2">
        <v>78.289999999999992</v>
      </c>
      <c r="AM4" s="14">
        <v>0</v>
      </c>
      <c r="AN4" s="2">
        <v>0</v>
      </c>
      <c r="AO4" s="2">
        <v>0</v>
      </c>
      <c r="AP4" s="2">
        <v>0</v>
      </c>
      <c r="AQ4" s="2">
        <v>3</v>
      </c>
      <c r="AR4" s="1">
        <v>76</v>
      </c>
      <c r="AS4" s="2">
        <v>303.52</v>
      </c>
      <c r="AT4" s="18">
        <v>0</v>
      </c>
      <c r="AU4" s="2">
        <v>0</v>
      </c>
      <c r="AV4" s="2">
        <v>2429.19</v>
      </c>
      <c r="AW4" s="2">
        <v>764.66000000000008</v>
      </c>
      <c r="AX4" s="3">
        <v>45</v>
      </c>
      <c r="AY4" s="1">
        <v>14</v>
      </c>
      <c r="AZ4" s="2">
        <v>13.88</v>
      </c>
      <c r="BA4" s="18">
        <v>0</v>
      </c>
      <c r="BB4" s="2">
        <v>0</v>
      </c>
      <c r="BC4" s="2">
        <v>455.09</v>
      </c>
      <c r="BD4" s="2">
        <v>455.09</v>
      </c>
      <c r="BE4" s="3">
        <v>1</v>
      </c>
      <c r="BF4" s="1">
        <v>22</v>
      </c>
      <c r="BG4" s="2">
        <v>28.84</v>
      </c>
      <c r="BH4" s="18">
        <v>0</v>
      </c>
      <c r="BI4" s="2">
        <v>0</v>
      </c>
      <c r="BJ4" s="2">
        <v>0</v>
      </c>
      <c r="BK4" s="2">
        <v>0</v>
      </c>
      <c r="BL4" s="3">
        <v>3</v>
      </c>
      <c r="BM4" s="1">
        <v>21</v>
      </c>
      <c r="BN4" s="2">
        <v>347.51</v>
      </c>
      <c r="BO4" s="18">
        <v>0</v>
      </c>
      <c r="BP4" s="2">
        <v>0</v>
      </c>
      <c r="BQ4" s="2">
        <v>0</v>
      </c>
      <c r="BR4" s="2">
        <v>0</v>
      </c>
      <c r="BS4" s="3">
        <v>1</v>
      </c>
      <c r="BT4" s="1">
        <v>16</v>
      </c>
      <c r="BU4" s="2">
        <v>111.22</v>
      </c>
      <c r="BV4" s="18">
        <v>0</v>
      </c>
      <c r="BW4" s="2">
        <v>0</v>
      </c>
      <c r="BX4" s="2">
        <v>702.54</v>
      </c>
      <c r="BY4" s="2">
        <v>282.25</v>
      </c>
      <c r="BZ4" s="3">
        <v>1</v>
      </c>
      <c r="CA4" s="1">
        <v>18</v>
      </c>
      <c r="CB4" s="2">
        <v>19.099999999999991</v>
      </c>
      <c r="CC4" s="18">
        <v>0</v>
      </c>
      <c r="CD4" s="2">
        <v>0</v>
      </c>
      <c r="CE4" s="2">
        <v>0</v>
      </c>
      <c r="CF4" s="2">
        <v>0</v>
      </c>
      <c r="CG4" s="3">
        <v>2</v>
      </c>
      <c r="CH4" s="1">
        <v>9</v>
      </c>
      <c r="CI4" s="2">
        <v>4.0199999999999996</v>
      </c>
      <c r="CJ4" s="18">
        <v>0</v>
      </c>
      <c r="CK4" s="2">
        <v>0</v>
      </c>
      <c r="CL4" s="2">
        <v>0</v>
      </c>
      <c r="CM4" s="2">
        <v>0</v>
      </c>
      <c r="CN4" s="3">
        <v>0</v>
      </c>
      <c r="CO4" s="1">
        <v>111</v>
      </c>
      <c r="CP4" s="2">
        <v>27.05</v>
      </c>
      <c r="CQ4" s="18">
        <v>0</v>
      </c>
      <c r="CR4" s="2">
        <v>0</v>
      </c>
      <c r="CS4" s="2">
        <v>328.11</v>
      </c>
      <c r="CT4" s="2">
        <v>23.14</v>
      </c>
      <c r="CU4" s="3">
        <v>70</v>
      </c>
    </row>
    <row r="5" spans="1:99" x14ac:dyDescent="0.25">
      <c r="A5" t="s">
        <v>34</v>
      </c>
      <c r="B5" s="1">
        <v>0</v>
      </c>
      <c r="C5" s="2">
        <v>0</v>
      </c>
      <c r="D5" s="18">
        <v>0</v>
      </c>
      <c r="E5" s="2">
        <v>0</v>
      </c>
      <c r="F5" s="2">
        <v>0</v>
      </c>
      <c r="G5" s="2">
        <v>0</v>
      </c>
      <c r="H5" s="3">
        <v>0</v>
      </c>
      <c r="I5" s="1">
        <v>2</v>
      </c>
      <c r="J5" s="2">
        <v>0</v>
      </c>
      <c r="K5" s="18">
        <v>0</v>
      </c>
      <c r="L5" s="2">
        <v>0</v>
      </c>
      <c r="M5" s="2">
        <v>0</v>
      </c>
      <c r="N5" s="2">
        <v>0</v>
      </c>
      <c r="O5" s="3">
        <v>0</v>
      </c>
      <c r="P5" s="1">
        <v>0</v>
      </c>
      <c r="Q5" s="2">
        <v>0</v>
      </c>
      <c r="R5" s="18">
        <v>0</v>
      </c>
      <c r="S5" s="2">
        <v>0</v>
      </c>
      <c r="T5" s="2">
        <v>0</v>
      </c>
      <c r="U5" s="2">
        <v>0</v>
      </c>
      <c r="V5" s="3">
        <v>0</v>
      </c>
      <c r="W5" s="1">
        <v>1</v>
      </c>
      <c r="X5" s="2">
        <v>0.26</v>
      </c>
      <c r="Y5" s="18">
        <v>0</v>
      </c>
      <c r="Z5" s="2">
        <v>0</v>
      </c>
      <c r="AA5" s="2">
        <v>0</v>
      </c>
      <c r="AB5" s="2">
        <v>0</v>
      </c>
      <c r="AC5" s="3">
        <v>1</v>
      </c>
      <c r="AD5" s="1">
        <v>5</v>
      </c>
      <c r="AE5" s="2">
        <v>18.3</v>
      </c>
      <c r="AF5" s="18">
        <v>0</v>
      </c>
      <c r="AG5" s="2">
        <v>0</v>
      </c>
      <c r="AH5" s="2">
        <v>0</v>
      </c>
      <c r="AI5" s="2">
        <v>0</v>
      </c>
      <c r="AJ5" s="2">
        <v>2</v>
      </c>
      <c r="AK5" s="1">
        <v>0</v>
      </c>
      <c r="AL5" s="2">
        <v>0</v>
      </c>
      <c r="AM5" s="14">
        <v>0</v>
      </c>
      <c r="AN5" s="2">
        <v>0</v>
      </c>
      <c r="AO5" s="2">
        <v>0</v>
      </c>
      <c r="AP5" s="2">
        <v>0</v>
      </c>
      <c r="AQ5" s="2">
        <v>0</v>
      </c>
      <c r="AR5" s="1">
        <v>26</v>
      </c>
      <c r="AS5" s="2">
        <v>6.53</v>
      </c>
      <c r="AT5" s="18">
        <v>0</v>
      </c>
      <c r="AU5" s="2">
        <v>0</v>
      </c>
      <c r="AV5" s="2">
        <v>632.73</v>
      </c>
      <c r="AW5" s="2">
        <v>126.54</v>
      </c>
      <c r="AX5" s="3">
        <v>19</v>
      </c>
      <c r="AY5" s="1">
        <v>0</v>
      </c>
      <c r="AZ5" s="2">
        <v>0</v>
      </c>
      <c r="BA5" s="18">
        <v>0</v>
      </c>
      <c r="BB5" s="2">
        <v>0</v>
      </c>
      <c r="BC5" s="2">
        <v>0</v>
      </c>
      <c r="BD5" s="2">
        <v>0</v>
      </c>
      <c r="BE5" s="3">
        <v>0</v>
      </c>
      <c r="BF5" s="1">
        <v>0</v>
      </c>
      <c r="BG5" s="2">
        <v>0</v>
      </c>
      <c r="BH5" s="18">
        <v>0</v>
      </c>
      <c r="BI5" s="2">
        <v>0</v>
      </c>
      <c r="BJ5" s="2">
        <v>0</v>
      </c>
      <c r="BK5" s="2">
        <v>0</v>
      </c>
      <c r="BL5" s="3">
        <v>0</v>
      </c>
      <c r="BM5" s="1">
        <v>0</v>
      </c>
      <c r="BN5" s="2">
        <v>0</v>
      </c>
      <c r="BO5" s="18">
        <v>0</v>
      </c>
      <c r="BP5" s="2">
        <v>0</v>
      </c>
      <c r="BQ5" s="2">
        <v>0</v>
      </c>
      <c r="BR5" s="2">
        <v>0</v>
      </c>
      <c r="BS5" s="3">
        <v>0</v>
      </c>
      <c r="BT5" s="1">
        <v>2</v>
      </c>
      <c r="BU5" s="2">
        <v>0</v>
      </c>
      <c r="BV5" s="18">
        <v>0</v>
      </c>
      <c r="BW5" s="2">
        <v>0</v>
      </c>
      <c r="BX5" s="2">
        <v>0</v>
      </c>
      <c r="BY5" s="2">
        <v>0</v>
      </c>
      <c r="BZ5" s="3">
        <v>0</v>
      </c>
      <c r="CA5" s="1">
        <v>0</v>
      </c>
      <c r="CB5" s="2">
        <v>0</v>
      </c>
      <c r="CC5" s="18">
        <v>0</v>
      </c>
      <c r="CD5" s="2">
        <v>0</v>
      </c>
      <c r="CE5" s="2">
        <v>0</v>
      </c>
      <c r="CF5" s="2">
        <v>0</v>
      </c>
      <c r="CG5" s="3">
        <v>0</v>
      </c>
      <c r="CH5" s="1">
        <v>0</v>
      </c>
      <c r="CI5" s="2">
        <v>0</v>
      </c>
      <c r="CJ5" s="18">
        <v>0</v>
      </c>
      <c r="CK5" s="2">
        <v>0</v>
      </c>
      <c r="CL5" s="2">
        <v>0</v>
      </c>
      <c r="CM5" s="2">
        <v>0</v>
      </c>
      <c r="CN5" s="3">
        <v>0</v>
      </c>
      <c r="CO5" s="1">
        <v>47</v>
      </c>
      <c r="CP5" s="2">
        <v>0</v>
      </c>
      <c r="CQ5" s="18">
        <v>0</v>
      </c>
      <c r="CR5" s="2">
        <v>0</v>
      </c>
      <c r="CS5" s="2">
        <v>36.630000000000003</v>
      </c>
      <c r="CT5" s="2">
        <v>2.29</v>
      </c>
      <c r="CU5" s="3">
        <v>34</v>
      </c>
    </row>
    <row r="6" spans="1:99" x14ac:dyDescent="0.25">
      <c r="A6" t="s">
        <v>35</v>
      </c>
      <c r="B6" s="1">
        <v>0</v>
      </c>
      <c r="C6" s="2">
        <v>0</v>
      </c>
      <c r="D6" s="18">
        <v>0</v>
      </c>
      <c r="E6" s="2">
        <v>0</v>
      </c>
      <c r="F6" s="2">
        <v>0</v>
      </c>
      <c r="G6" s="2">
        <v>0</v>
      </c>
      <c r="H6" s="3">
        <v>0</v>
      </c>
      <c r="I6" s="1">
        <v>0</v>
      </c>
      <c r="J6" s="2">
        <v>0</v>
      </c>
      <c r="K6" s="18">
        <v>0</v>
      </c>
      <c r="L6" s="2">
        <v>0</v>
      </c>
      <c r="M6" s="2">
        <v>0</v>
      </c>
      <c r="N6" s="2">
        <v>0</v>
      </c>
      <c r="O6" s="3">
        <v>0</v>
      </c>
      <c r="P6" s="1">
        <v>0</v>
      </c>
      <c r="Q6" s="2">
        <v>0</v>
      </c>
      <c r="R6" s="18">
        <v>0</v>
      </c>
      <c r="S6" s="2">
        <v>0</v>
      </c>
      <c r="T6" s="2">
        <v>0</v>
      </c>
      <c r="U6" s="2">
        <v>0</v>
      </c>
      <c r="V6" s="3">
        <v>0</v>
      </c>
      <c r="W6" s="1">
        <v>0</v>
      </c>
      <c r="X6" s="2">
        <v>0</v>
      </c>
      <c r="Y6" s="18">
        <v>0</v>
      </c>
      <c r="Z6" s="2">
        <v>0</v>
      </c>
      <c r="AA6" s="2">
        <v>0</v>
      </c>
      <c r="AB6" s="2">
        <v>0</v>
      </c>
      <c r="AC6" s="3">
        <v>0</v>
      </c>
      <c r="AD6" s="1">
        <v>0</v>
      </c>
      <c r="AE6" s="2">
        <v>0</v>
      </c>
      <c r="AF6" s="18">
        <v>0</v>
      </c>
      <c r="AG6" s="2">
        <v>0</v>
      </c>
      <c r="AH6" s="2">
        <v>0</v>
      </c>
      <c r="AI6" s="2">
        <v>0</v>
      </c>
      <c r="AJ6" s="2">
        <v>0</v>
      </c>
      <c r="AK6" s="1">
        <v>165</v>
      </c>
      <c r="AL6" s="2">
        <v>0</v>
      </c>
      <c r="AM6" s="27">
        <v>50</v>
      </c>
      <c r="AN6" s="2">
        <v>70.28</v>
      </c>
      <c r="AO6" s="2">
        <v>1081.23</v>
      </c>
      <c r="AP6" s="2">
        <v>265.06</v>
      </c>
      <c r="AQ6" s="2">
        <v>163</v>
      </c>
      <c r="AR6" s="1">
        <v>0</v>
      </c>
      <c r="AS6" s="2">
        <v>0</v>
      </c>
      <c r="AT6" s="18">
        <v>0</v>
      </c>
      <c r="AU6" s="2">
        <v>0</v>
      </c>
      <c r="AV6" s="2">
        <v>0</v>
      </c>
      <c r="AW6" s="2">
        <v>0</v>
      </c>
      <c r="AX6" s="3">
        <v>0</v>
      </c>
      <c r="AY6" s="1">
        <v>0</v>
      </c>
      <c r="AZ6" s="2">
        <v>0</v>
      </c>
      <c r="BA6" s="18">
        <v>0</v>
      </c>
      <c r="BB6" s="2">
        <v>0</v>
      </c>
      <c r="BC6" s="2">
        <v>0</v>
      </c>
      <c r="BD6" s="2">
        <v>0</v>
      </c>
      <c r="BE6" s="3">
        <v>0</v>
      </c>
      <c r="BF6" s="1">
        <v>0</v>
      </c>
      <c r="BG6" s="2">
        <v>0</v>
      </c>
      <c r="BH6" s="18">
        <v>0</v>
      </c>
      <c r="BI6" s="2">
        <v>0</v>
      </c>
      <c r="BJ6" s="2">
        <v>0</v>
      </c>
      <c r="BK6" s="2">
        <v>0</v>
      </c>
      <c r="BL6" s="3">
        <v>0</v>
      </c>
      <c r="BM6" s="1">
        <v>0</v>
      </c>
      <c r="BN6" s="2">
        <v>0</v>
      </c>
      <c r="BO6" s="18">
        <v>0</v>
      </c>
      <c r="BP6" s="2">
        <v>0</v>
      </c>
      <c r="BQ6" s="2">
        <v>0</v>
      </c>
      <c r="BR6" s="2">
        <v>0</v>
      </c>
      <c r="BS6" s="3">
        <v>0</v>
      </c>
      <c r="BT6" s="1">
        <v>0</v>
      </c>
      <c r="BU6" s="2">
        <v>0</v>
      </c>
      <c r="BV6" s="18">
        <v>0</v>
      </c>
      <c r="BW6" s="2">
        <v>0</v>
      </c>
      <c r="BX6" s="2">
        <v>0</v>
      </c>
      <c r="BY6" s="2">
        <v>0</v>
      </c>
      <c r="BZ6" s="3">
        <v>0</v>
      </c>
      <c r="CA6" s="1">
        <v>0</v>
      </c>
      <c r="CB6" s="2">
        <v>0</v>
      </c>
      <c r="CC6" s="18">
        <v>0</v>
      </c>
      <c r="CD6" s="2">
        <v>0</v>
      </c>
      <c r="CE6" s="2">
        <v>0</v>
      </c>
      <c r="CF6" s="2">
        <v>0</v>
      </c>
      <c r="CG6" s="3">
        <v>0</v>
      </c>
      <c r="CH6" s="1">
        <v>38</v>
      </c>
      <c r="CI6" s="2">
        <v>0</v>
      </c>
      <c r="CJ6" s="18">
        <v>0</v>
      </c>
      <c r="CK6" s="2">
        <v>0</v>
      </c>
      <c r="CL6" s="2">
        <v>0</v>
      </c>
      <c r="CM6" s="2">
        <v>0</v>
      </c>
      <c r="CN6" s="3">
        <v>38</v>
      </c>
      <c r="CO6" s="1">
        <v>0</v>
      </c>
      <c r="CP6" s="2">
        <v>0</v>
      </c>
      <c r="CQ6" s="18">
        <v>0</v>
      </c>
      <c r="CR6" s="2">
        <v>0</v>
      </c>
      <c r="CS6" s="2">
        <v>0</v>
      </c>
      <c r="CT6" s="2">
        <v>0</v>
      </c>
      <c r="CU6" s="3">
        <v>0</v>
      </c>
    </row>
    <row r="7" spans="1:99" x14ac:dyDescent="0.25">
      <c r="A7" t="s">
        <v>36</v>
      </c>
      <c r="B7" s="1">
        <v>0</v>
      </c>
      <c r="C7" s="2">
        <v>0</v>
      </c>
      <c r="D7" s="18">
        <v>0</v>
      </c>
      <c r="E7" s="2">
        <v>0</v>
      </c>
      <c r="F7" s="2">
        <v>0</v>
      </c>
      <c r="G7" s="2">
        <v>0</v>
      </c>
      <c r="H7" s="3">
        <v>0</v>
      </c>
      <c r="I7" s="1">
        <v>0</v>
      </c>
      <c r="J7" s="2">
        <v>0</v>
      </c>
      <c r="K7" s="18">
        <v>0</v>
      </c>
      <c r="L7" s="2">
        <v>0</v>
      </c>
      <c r="M7" s="2">
        <v>0</v>
      </c>
      <c r="N7" s="2">
        <v>0</v>
      </c>
      <c r="O7" s="3">
        <v>0</v>
      </c>
      <c r="P7" s="1">
        <v>0</v>
      </c>
      <c r="Q7" s="2">
        <v>0</v>
      </c>
      <c r="R7" s="18">
        <v>0</v>
      </c>
      <c r="S7" s="2">
        <v>0</v>
      </c>
      <c r="T7" s="2">
        <v>0</v>
      </c>
      <c r="U7" s="2">
        <v>0</v>
      </c>
      <c r="V7" s="3">
        <v>0</v>
      </c>
      <c r="W7" s="1">
        <v>0</v>
      </c>
      <c r="X7" s="2">
        <v>0</v>
      </c>
      <c r="Y7" s="18">
        <v>0</v>
      </c>
      <c r="Z7" s="2">
        <v>0</v>
      </c>
      <c r="AA7" s="2">
        <v>0</v>
      </c>
      <c r="AB7" s="2">
        <v>0</v>
      </c>
      <c r="AC7" s="3">
        <v>0</v>
      </c>
      <c r="AD7" s="1">
        <v>0</v>
      </c>
      <c r="AE7" s="2">
        <v>0</v>
      </c>
      <c r="AF7" s="18">
        <v>0</v>
      </c>
      <c r="AG7" s="2">
        <v>0</v>
      </c>
      <c r="AH7" s="2">
        <v>0</v>
      </c>
      <c r="AI7" s="2">
        <v>0</v>
      </c>
      <c r="AJ7" s="2">
        <v>0</v>
      </c>
      <c r="AK7" s="1">
        <v>121</v>
      </c>
      <c r="AL7" s="2">
        <v>0</v>
      </c>
      <c r="AM7" s="27">
        <v>57</v>
      </c>
      <c r="AN7" s="2">
        <v>148.12</v>
      </c>
      <c r="AO7" s="2">
        <v>1640.74</v>
      </c>
      <c r="AP7" s="2">
        <v>833.40000000000009</v>
      </c>
      <c r="AQ7" s="2">
        <v>120</v>
      </c>
      <c r="AR7" s="1">
        <v>0</v>
      </c>
      <c r="AS7" s="2">
        <v>0</v>
      </c>
      <c r="AT7" s="18">
        <v>0</v>
      </c>
      <c r="AU7" s="2">
        <v>0</v>
      </c>
      <c r="AV7" s="2">
        <v>0</v>
      </c>
      <c r="AW7" s="2">
        <v>0</v>
      </c>
      <c r="AX7" s="3">
        <v>0</v>
      </c>
      <c r="AY7" s="1">
        <v>0</v>
      </c>
      <c r="AZ7" s="2">
        <v>0</v>
      </c>
      <c r="BA7" s="18">
        <v>0</v>
      </c>
      <c r="BB7" s="2">
        <v>0</v>
      </c>
      <c r="BC7" s="2">
        <v>0</v>
      </c>
      <c r="BD7" s="2">
        <v>0</v>
      </c>
      <c r="BE7" s="3">
        <v>0</v>
      </c>
      <c r="BF7" s="1">
        <v>0</v>
      </c>
      <c r="BG7" s="2">
        <v>0</v>
      </c>
      <c r="BH7" s="18">
        <v>0</v>
      </c>
      <c r="BI7" s="2">
        <v>0</v>
      </c>
      <c r="BJ7" s="2">
        <v>0</v>
      </c>
      <c r="BK7" s="2">
        <v>0</v>
      </c>
      <c r="BL7" s="3">
        <v>0</v>
      </c>
      <c r="BM7" s="1">
        <v>0</v>
      </c>
      <c r="BN7" s="2">
        <v>0</v>
      </c>
      <c r="BO7" s="18">
        <v>0</v>
      </c>
      <c r="BP7" s="2">
        <v>0</v>
      </c>
      <c r="BQ7" s="2">
        <v>0</v>
      </c>
      <c r="BR7" s="2">
        <v>0</v>
      </c>
      <c r="BS7" s="3">
        <v>0</v>
      </c>
      <c r="BT7" s="1">
        <v>0</v>
      </c>
      <c r="BU7" s="2">
        <v>0</v>
      </c>
      <c r="BV7" s="18">
        <v>0</v>
      </c>
      <c r="BW7" s="2">
        <v>0</v>
      </c>
      <c r="BX7" s="2">
        <v>0</v>
      </c>
      <c r="BY7" s="2">
        <v>0</v>
      </c>
      <c r="BZ7" s="3">
        <v>0</v>
      </c>
      <c r="CA7" s="1">
        <v>0</v>
      </c>
      <c r="CB7" s="2">
        <v>0</v>
      </c>
      <c r="CC7" s="18">
        <v>0</v>
      </c>
      <c r="CD7" s="2">
        <v>0</v>
      </c>
      <c r="CE7" s="2">
        <v>0</v>
      </c>
      <c r="CF7" s="2">
        <v>0</v>
      </c>
      <c r="CG7" s="3">
        <v>0</v>
      </c>
      <c r="CH7" s="1">
        <v>38</v>
      </c>
      <c r="CI7" s="2">
        <v>0</v>
      </c>
      <c r="CJ7" s="18">
        <v>2</v>
      </c>
      <c r="CK7" s="2">
        <v>5.68</v>
      </c>
      <c r="CL7" s="2">
        <v>318.98</v>
      </c>
      <c r="CM7" s="2">
        <v>62.43</v>
      </c>
      <c r="CN7" s="3">
        <v>38</v>
      </c>
      <c r="CO7" s="1">
        <v>0</v>
      </c>
      <c r="CP7" s="2">
        <v>0</v>
      </c>
      <c r="CQ7" s="18">
        <v>0</v>
      </c>
      <c r="CR7" s="2">
        <v>0</v>
      </c>
      <c r="CS7" s="2">
        <v>0</v>
      </c>
      <c r="CT7" s="2">
        <v>0</v>
      </c>
      <c r="CU7" s="3">
        <v>0</v>
      </c>
    </row>
    <row r="8" spans="1:99" x14ac:dyDescent="0.25">
      <c r="A8" t="s">
        <v>24</v>
      </c>
      <c r="B8" s="1">
        <v>21</v>
      </c>
      <c r="C8" s="2">
        <v>1995.74</v>
      </c>
      <c r="D8" s="18">
        <v>0</v>
      </c>
      <c r="E8" s="2">
        <v>0</v>
      </c>
      <c r="F8" s="2">
        <v>1110.23</v>
      </c>
      <c r="G8" s="2">
        <v>986.1400000000001</v>
      </c>
      <c r="H8" s="3">
        <v>10</v>
      </c>
      <c r="I8" s="1">
        <v>25</v>
      </c>
      <c r="J8" s="2">
        <v>2990.26</v>
      </c>
      <c r="K8" s="18">
        <v>0</v>
      </c>
      <c r="L8" s="2">
        <v>0</v>
      </c>
      <c r="M8" s="2">
        <v>813.48</v>
      </c>
      <c r="N8" s="2">
        <v>718.98</v>
      </c>
      <c r="O8" s="3">
        <v>13</v>
      </c>
      <c r="P8" s="1">
        <v>26</v>
      </c>
      <c r="Q8" s="2">
        <v>2522.58</v>
      </c>
      <c r="R8" s="18">
        <v>0</v>
      </c>
      <c r="S8" s="2">
        <v>7.22</v>
      </c>
      <c r="T8" s="2">
        <v>795.63</v>
      </c>
      <c r="U8" s="2">
        <v>702.69</v>
      </c>
      <c r="V8" s="3">
        <v>14</v>
      </c>
      <c r="W8" s="1">
        <v>35</v>
      </c>
      <c r="X8" s="2">
        <v>3267.52</v>
      </c>
      <c r="Y8" s="18">
        <v>0</v>
      </c>
      <c r="Z8" s="2">
        <v>14.44</v>
      </c>
      <c r="AA8" s="2">
        <v>817.24</v>
      </c>
      <c r="AB8" s="2">
        <v>739.3599999999999</v>
      </c>
      <c r="AC8" s="3">
        <v>22</v>
      </c>
      <c r="AD8" s="1">
        <v>39</v>
      </c>
      <c r="AE8" s="2">
        <v>2841.02</v>
      </c>
      <c r="AF8" s="18">
        <v>0</v>
      </c>
      <c r="AG8" s="2">
        <v>21.66</v>
      </c>
      <c r="AH8" s="2">
        <v>1317.66</v>
      </c>
      <c r="AI8" s="2">
        <v>1059.6300000000001</v>
      </c>
      <c r="AJ8" s="2">
        <v>27</v>
      </c>
      <c r="AK8" s="1">
        <v>39</v>
      </c>
      <c r="AL8" s="2">
        <v>2760.48</v>
      </c>
      <c r="AM8" s="14">
        <v>0</v>
      </c>
      <c r="AN8" s="2">
        <v>4.18</v>
      </c>
      <c r="AO8" s="2">
        <v>780.91000000000008</v>
      </c>
      <c r="AP8" s="2">
        <v>677.05</v>
      </c>
      <c r="AQ8" s="2">
        <v>27</v>
      </c>
      <c r="AR8" s="1">
        <v>45</v>
      </c>
      <c r="AS8" s="2">
        <v>53.88</v>
      </c>
      <c r="AT8" s="18">
        <v>0</v>
      </c>
      <c r="AU8" s="2">
        <v>0</v>
      </c>
      <c r="AV8" s="2">
        <v>13.85</v>
      </c>
      <c r="AW8" s="2">
        <v>8.4700000000000006</v>
      </c>
      <c r="AX8" s="3">
        <v>34</v>
      </c>
      <c r="AY8" s="1">
        <v>44</v>
      </c>
      <c r="AZ8" s="2">
        <v>29.62</v>
      </c>
      <c r="BA8" s="18">
        <v>0</v>
      </c>
      <c r="BB8" s="2">
        <v>0</v>
      </c>
      <c r="BC8" s="2">
        <v>0.3</v>
      </c>
      <c r="BD8" s="2">
        <v>0.3</v>
      </c>
      <c r="BE8" s="3">
        <v>33</v>
      </c>
      <c r="BF8" s="1">
        <v>41</v>
      </c>
      <c r="BG8" s="2">
        <v>34.71</v>
      </c>
      <c r="BH8" s="18">
        <v>0</v>
      </c>
      <c r="BI8" s="2">
        <v>0</v>
      </c>
      <c r="BJ8" s="2">
        <v>13.39</v>
      </c>
      <c r="BK8" s="2">
        <v>6.7</v>
      </c>
      <c r="BL8" s="3">
        <v>35</v>
      </c>
      <c r="BM8" s="1">
        <v>47</v>
      </c>
      <c r="BN8" s="2">
        <v>162.66999999999999</v>
      </c>
      <c r="BO8" s="18">
        <v>0</v>
      </c>
      <c r="BP8" s="2">
        <v>0</v>
      </c>
      <c r="BQ8" s="2">
        <v>260.93</v>
      </c>
      <c r="BR8" s="2">
        <v>12.95</v>
      </c>
      <c r="BS8" s="3">
        <v>41</v>
      </c>
      <c r="BT8" s="1">
        <v>45</v>
      </c>
      <c r="BU8" s="2">
        <v>19.47</v>
      </c>
      <c r="BV8" s="18">
        <v>0</v>
      </c>
      <c r="BW8" s="2">
        <v>0</v>
      </c>
      <c r="BX8" s="2">
        <v>12.82</v>
      </c>
      <c r="BY8" s="2">
        <v>12.82</v>
      </c>
      <c r="BZ8" s="3">
        <v>41</v>
      </c>
      <c r="CA8" s="1">
        <v>48</v>
      </c>
      <c r="CB8" s="2">
        <v>21.12</v>
      </c>
      <c r="CC8" s="18">
        <v>0</v>
      </c>
      <c r="CD8" s="2">
        <v>0</v>
      </c>
      <c r="CE8" s="2">
        <v>13.56</v>
      </c>
      <c r="CF8" s="2">
        <v>4.5199999999999996</v>
      </c>
      <c r="CG8" s="3">
        <v>45</v>
      </c>
      <c r="CH8" s="1">
        <v>51</v>
      </c>
      <c r="CI8" s="2">
        <v>0.65</v>
      </c>
      <c r="CJ8" s="18">
        <v>0</v>
      </c>
      <c r="CK8" s="2">
        <v>0</v>
      </c>
      <c r="CL8" s="2">
        <v>0</v>
      </c>
      <c r="CM8" s="2">
        <v>0</v>
      </c>
      <c r="CN8" s="3">
        <v>50</v>
      </c>
      <c r="CO8" s="1">
        <v>5</v>
      </c>
      <c r="CP8" s="2">
        <v>0.56000000000000005</v>
      </c>
      <c r="CQ8" s="18">
        <v>0</v>
      </c>
      <c r="CR8" s="2">
        <v>0</v>
      </c>
      <c r="CS8" s="2">
        <v>0</v>
      </c>
      <c r="CT8" s="2">
        <v>0</v>
      </c>
      <c r="CU8" s="3">
        <v>1</v>
      </c>
    </row>
    <row r="9" spans="1:99" x14ac:dyDescent="0.25">
      <c r="A9" t="s">
        <v>25</v>
      </c>
      <c r="B9" s="1">
        <v>120</v>
      </c>
      <c r="C9" s="2">
        <v>13.04</v>
      </c>
      <c r="D9" s="18">
        <v>1</v>
      </c>
      <c r="E9" s="2">
        <v>0</v>
      </c>
      <c r="F9" s="2">
        <v>0.87</v>
      </c>
      <c r="G9" s="2">
        <v>0.09</v>
      </c>
      <c r="H9" s="3">
        <v>119</v>
      </c>
      <c r="I9" s="1">
        <v>114</v>
      </c>
      <c r="J9" s="2">
        <v>9.08</v>
      </c>
      <c r="K9" s="18">
        <v>1</v>
      </c>
      <c r="L9" s="2">
        <v>0</v>
      </c>
      <c r="M9" s="2">
        <v>0.87</v>
      </c>
      <c r="N9" s="2">
        <v>0.09</v>
      </c>
      <c r="O9" s="3">
        <v>113</v>
      </c>
      <c r="P9" s="1">
        <v>114</v>
      </c>
      <c r="Q9" s="2">
        <v>6.5400000000000009</v>
      </c>
      <c r="R9" s="18">
        <v>0</v>
      </c>
      <c r="S9" s="2">
        <v>0</v>
      </c>
      <c r="T9" s="2">
        <v>0.87</v>
      </c>
      <c r="U9" s="2">
        <v>0</v>
      </c>
      <c r="V9" s="3">
        <v>113</v>
      </c>
      <c r="W9" s="1">
        <v>115</v>
      </c>
      <c r="X9" s="2">
        <v>6.12</v>
      </c>
      <c r="Y9" s="18">
        <v>0</v>
      </c>
      <c r="Z9" s="2">
        <v>0</v>
      </c>
      <c r="AA9" s="2">
        <v>0</v>
      </c>
      <c r="AB9" s="2">
        <v>0</v>
      </c>
      <c r="AC9" s="3">
        <v>114</v>
      </c>
      <c r="AD9" s="1">
        <v>115</v>
      </c>
      <c r="AE9" s="2">
        <v>0.92</v>
      </c>
      <c r="AF9" s="18">
        <v>0</v>
      </c>
      <c r="AG9" s="2">
        <v>0</v>
      </c>
      <c r="AH9" s="2">
        <v>0</v>
      </c>
      <c r="AI9" s="2">
        <v>0</v>
      </c>
      <c r="AJ9" s="2">
        <v>114</v>
      </c>
      <c r="AK9" s="1">
        <v>115</v>
      </c>
      <c r="AL9" s="2">
        <v>0</v>
      </c>
      <c r="AM9" s="14">
        <v>0</v>
      </c>
      <c r="AN9" s="2">
        <v>0</v>
      </c>
      <c r="AO9" s="2">
        <v>0</v>
      </c>
      <c r="AP9" s="2">
        <v>0</v>
      </c>
      <c r="AQ9" s="2">
        <v>115</v>
      </c>
      <c r="AR9" s="1">
        <v>100</v>
      </c>
      <c r="AS9" s="2">
        <v>0</v>
      </c>
      <c r="AT9" s="18">
        <v>0</v>
      </c>
      <c r="AU9" s="2">
        <v>0</v>
      </c>
      <c r="AV9" s="2">
        <v>0</v>
      </c>
      <c r="AW9" s="2">
        <v>0</v>
      </c>
      <c r="AX9" s="3">
        <v>100</v>
      </c>
      <c r="AY9" s="1">
        <v>100</v>
      </c>
      <c r="AZ9" s="2">
        <v>0</v>
      </c>
      <c r="BA9" s="18">
        <v>0</v>
      </c>
      <c r="BB9" s="2">
        <v>0</v>
      </c>
      <c r="BC9" s="2">
        <v>0</v>
      </c>
      <c r="BD9" s="2">
        <v>0</v>
      </c>
      <c r="BE9" s="3">
        <v>100</v>
      </c>
      <c r="BF9" s="1">
        <v>100</v>
      </c>
      <c r="BG9" s="2">
        <v>0</v>
      </c>
      <c r="BH9" s="18">
        <v>0</v>
      </c>
      <c r="BI9" s="2">
        <v>0</v>
      </c>
      <c r="BJ9" s="2">
        <v>0</v>
      </c>
      <c r="BK9" s="2">
        <v>0</v>
      </c>
      <c r="BL9" s="3">
        <v>100</v>
      </c>
      <c r="BM9" s="1">
        <v>100</v>
      </c>
      <c r="BN9" s="2">
        <v>0</v>
      </c>
      <c r="BO9" s="18">
        <v>0</v>
      </c>
      <c r="BP9" s="2">
        <v>0</v>
      </c>
      <c r="BQ9" s="2">
        <v>0</v>
      </c>
      <c r="BR9" s="2">
        <v>0</v>
      </c>
      <c r="BS9" s="3">
        <v>100</v>
      </c>
      <c r="BT9" s="1">
        <v>100</v>
      </c>
      <c r="BU9" s="2">
        <v>0</v>
      </c>
      <c r="BV9" s="18">
        <v>0</v>
      </c>
      <c r="BW9" s="2">
        <v>0</v>
      </c>
      <c r="BX9" s="2">
        <v>0</v>
      </c>
      <c r="BY9" s="2">
        <v>0</v>
      </c>
      <c r="BZ9" s="3">
        <v>100</v>
      </c>
      <c r="CA9" s="1">
        <v>100</v>
      </c>
      <c r="CB9" s="2">
        <v>0</v>
      </c>
      <c r="CC9" s="18">
        <v>0</v>
      </c>
      <c r="CD9" s="2">
        <v>0</v>
      </c>
      <c r="CE9" s="2">
        <v>0</v>
      </c>
      <c r="CF9" s="2">
        <v>0</v>
      </c>
      <c r="CG9" s="3">
        <v>100</v>
      </c>
      <c r="CH9" s="1">
        <v>100</v>
      </c>
      <c r="CI9" s="2">
        <v>0</v>
      </c>
      <c r="CJ9" s="18">
        <v>0</v>
      </c>
      <c r="CK9" s="2">
        <v>0</v>
      </c>
      <c r="CL9" s="2">
        <v>0</v>
      </c>
      <c r="CM9" s="2">
        <v>0</v>
      </c>
      <c r="CN9" s="3">
        <v>100</v>
      </c>
      <c r="CO9" s="1">
        <v>1</v>
      </c>
      <c r="CP9" s="2">
        <v>0</v>
      </c>
      <c r="CQ9" s="18">
        <v>0</v>
      </c>
      <c r="CR9" s="2">
        <v>0</v>
      </c>
      <c r="CS9" s="2">
        <v>0</v>
      </c>
      <c r="CT9" s="2">
        <v>0</v>
      </c>
      <c r="CU9" s="3">
        <v>1</v>
      </c>
    </row>
    <row r="10" spans="1:99" x14ac:dyDescent="0.25">
      <c r="A10" t="s">
        <v>30</v>
      </c>
      <c r="B10" s="1">
        <v>0</v>
      </c>
      <c r="C10" s="2">
        <v>0</v>
      </c>
      <c r="D10" s="18">
        <v>0</v>
      </c>
      <c r="E10" s="2">
        <v>0</v>
      </c>
      <c r="F10" s="2">
        <v>0</v>
      </c>
      <c r="G10" s="2">
        <v>0</v>
      </c>
      <c r="H10" s="3">
        <v>0</v>
      </c>
      <c r="I10" s="1">
        <v>54</v>
      </c>
      <c r="J10" s="2">
        <v>378.82999999999993</v>
      </c>
      <c r="K10" s="18">
        <v>0</v>
      </c>
      <c r="L10" s="2">
        <v>0</v>
      </c>
      <c r="M10" s="2">
        <v>92.06</v>
      </c>
      <c r="N10" s="2">
        <v>17.39</v>
      </c>
      <c r="O10" s="3">
        <v>32</v>
      </c>
      <c r="P10" s="1">
        <v>5</v>
      </c>
      <c r="Q10" s="2">
        <v>18.329999999999998</v>
      </c>
      <c r="R10" s="18">
        <v>0</v>
      </c>
      <c r="S10" s="2">
        <v>0</v>
      </c>
      <c r="T10" s="2">
        <v>41.260000000000012</v>
      </c>
      <c r="U10" s="2">
        <v>41.13</v>
      </c>
      <c r="V10" s="3">
        <v>1</v>
      </c>
      <c r="W10" s="1">
        <v>48</v>
      </c>
      <c r="X10" s="2">
        <v>284.49</v>
      </c>
      <c r="Y10" s="18">
        <v>0</v>
      </c>
      <c r="Z10" s="2">
        <v>0</v>
      </c>
      <c r="AA10" s="2">
        <v>457.35</v>
      </c>
      <c r="AB10" s="2">
        <v>413.03</v>
      </c>
      <c r="AC10" s="3">
        <v>26</v>
      </c>
      <c r="AD10" s="1">
        <v>16</v>
      </c>
      <c r="AE10" s="2">
        <v>38.200000000000003</v>
      </c>
      <c r="AF10" s="18">
        <v>0</v>
      </c>
      <c r="AG10" s="2">
        <v>0</v>
      </c>
      <c r="AH10" s="2">
        <v>7</v>
      </c>
      <c r="AI10" s="2">
        <v>0</v>
      </c>
      <c r="AJ10" s="2">
        <v>1</v>
      </c>
      <c r="AK10" s="4">
        <v>4</v>
      </c>
      <c r="AL10" s="5">
        <v>267.69</v>
      </c>
      <c r="AM10" s="15">
        <v>0</v>
      </c>
      <c r="AN10" s="5">
        <v>0</v>
      </c>
      <c r="AO10" s="5">
        <v>105.99</v>
      </c>
      <c r="AP10" s="5">
        <v>90.24</v>
      </c>
      <c r="AQ10" s="5">
        <v>1</v>
      </c>
      <c r="AR10" s="4">
        <v>158</v>
      </c>
      <c r="AS10" s="5">
        <v>1127.81</v>
      </c>
      <c r="AT10" s="18">
        <v>0</v>
      </c>
      <c r="AU10" s="5">
        <v>0</v>
      </c>
      <c r="AV10" s="5">
        <v>151.01</v>
      </c>
      <c r="AW10" s="5">
        <v>142.12</v>
      </c>
      <c r="AX10" s="6">
        <v>44</v>
      </c>
      <c r="AY10" s="4">
        <v>1</v>
      </c>
      <c r="AZ10" s="5">
        <v>2.08</v>
      </c>
      <c r="BA10" s="18">
        <v>0</v>
      </c>
      <c r="BB10" s="5">
        <v>0</v>
      </c>
      <c r="BC10" s="5">
        <v>0</v>
      </c>
      <c r="BD10" s="5">
        <v>0</v>
      </c>
      <c r="BE10" s="6">
        <v>0</v>
      </c>
      <c r="BF10" s="1">
        <v>0</v>
      </c>
      <c r="BG10" s="2">
        <v>0</v>
      </c>
      <c r="BH10" s="18">
        <v>0</v>
      </c>
      <c r="BI10" s="2">
        <v>0</v>
      </c>
      <c r="BJ10" s="2">
        <v>0</v>
      </c>
      <c r="BK10" s="2">
        <v>0</v>
      </c>
      <c r="BL10" s="3">
        <v>0</v>
      </c>
      <c r="BM10" s="1">
        <v>0</v>
      </c>
      <c r="BN10" s="2">
        <v>0</v>
      </c>
      <c r="BO10" s="18">
        <v>0</v>
      </c>
      <c r="BP10" s="2">
        <v>0</v>
      </c>
      <c r="BQ10" s="2">
        <v>0</v>
      </c>
      <c r="BR10" s="2">
        <v>0</v>
      </c>
      <c r="BS10" s="3">
        <v>0</v>
      </c>
      <c r="BT10" s="1">
        <v>0</v>
      </c>
      <c r="BU10" s="2">
        <v>0</v>
      </c>
      <c r="BV10" s="18">
        <v>0</v>
      </c>
      <c r="BW10" s="2">
        <v>0</v>
      </c>
      <c r="BX10" s="2">
        <v>0</v>
      </c>
      <c r="BY10" s="2">
        <v>0</v>
      </c>
      <c r="BZ10" s="3">
        <v>0</v>
      </c>
      <c r="CA10" s="1">
        <v>0</v>
      </c>
      <c r="CB10" s="2">
        <v>0</v>
      </c>
      <c r="CC10" s="18">
        <v>0</v>
      </c>
      <c r="CD10" s="2">
        <v>0</v>
      </c>
      <c r="CE10" s="2">
        <v>0</v>
      </c>
      <c r="CF10" s="2">
        <v>0</v>
      </c>
      <c r="CG10" s="3">
        <v>0</v>
      </c>
      <c r="CH10" s="1">
        <v>0</v>
      </c>
      <c r="CI10" s="2">
        <v>0</v>
      </c>
      <c r="CJ10" s="18">
        <v>0</v>
      </c>
      <c r="CK10" s="2">
        <v>0</v>
      </c>
      <c r="CL10" s="2">
        <v>0</v>
      </c>
      <c r="CM10" s="2">
        <v>0</v>
      </c>
      <c r="CN10" s="3">
        <v>0</v>
      </c>
      <c r="CO10" s="1">
        <v>255</v>
      </c>
      <c r="CP10" s="2">
        <v>1488.9</v>
      </c>
      <c r="CQ10" s="18">
        <v>0</v>
      </c>
      <c r="CR10" s="2">
        <v>2.29</v>
      </c>
      <c r="CS10" s="2">
        <v>853.59</v>
      </c>
      <c r="CT10" s="2">
        <v>134.41</v>
      </c>
      <c r="CU10" s="3">
        <v>64</v>
      </c>
    </row>
    <row r="11" spans="1:99" x14ac:dyDescent="0.25">
      <c r="A11" s="7" t="s">
        <v>21</v>
      </c>
      <c r="B11" s="7">
        <v>40220</v>
      </c>
      <c r="C11" s="8">
        <v>6009.4400000000014</v>
      </c>
      <c r="D11" s="19">
        <v>147</v>
      </c>
      <c r="E11" s="8">
        <v>52.63</v>
      </c>
      <c r="F11" s="8">
        <v>4042.33</v>
      </c>
      <c r="G11" s="8">
        <v>2516.02</v>
      </c>
      <c r="H11" s="9">
        <v>0</v>
      </c>
      <c r="I11" s="7">
        <v>36998</v>
      </c>
      <c r="J11" s="8">
        <v>5166.3900000000003</v>
      </c>
      <c r="K11" s="19">
        <v>129</v>
      </c>
      <c r="L11" s="8">
        <v>44.91</v>
      </c>
      <c r="M11" s="8">
        <v>3810.24</v>
      </c>
      <c r="N11" s="8">
        <v>2454.4499999999998</v>
      </c>
      <c r="O11" s="9">
        <v>0</v>
      </c>
      <c r="P11" s="7">
        <v>37036</v>
      </c>
      <c r="Q11" s="8">
        <v>5632.49</v>
      </c>
      <c r="R11" s="19">
        <v>123</v>
      </c>
      <c r="S11" s="8">
        <v>47.12</v>
      </c>
      <c r="T11" s="8">
        <v>4783.32</v>
      </c>
      <c r="U11" s="8">
        <v>2788.12</v>
      </c>
      <c r="V11" s="9">
        <v>0</v>
      </c>
      <c r="W11" s="7">
        <v>36399</v>
      </c>
      <c r="X11" s="8">
        <v>6709.75</v>
      </c>
      <c r="Y11" s="19">
        <v>134</v>
      </c>
      <c r="Z11" s="8">
        <v>39.979999999999997</v>
      </c>
      <c r="AA11" s="8">
        <v>3666.77</v>
      </c>
      <c r="AB11" s="8">
        <v>2411.88</v>
      </c>
      <c r="AC11" s="9">
        <v>0</v>
      </c>
      <c r="AD11" s="7">
        <v>37423</v>
      </c>
      <c r="AE11" s="8">
        <v>6938.4500000000007</v>
      </c>
      <c r="AF11" s="19">
        <v>141</v>
      </c>
      <c r="AG11" s="8">
        <v>44.75</v>
      </c>
      <c r="AH11" s="8">
        <v>4309.8599999999997</v>
      </c>
      <c r="AI11" s="8">
        <v>2875.92</v>
      </c>
      <c r="AJ11" s="8">
        <v>0</v>
      </c>
      <c r="AK11" s="7">
        <v>38149</v>
      </c>
      <c r="AL11" s="8">
        <v>7154.17</v>
      </c>
      <c r="AM11" s="16">
        <v>162</v>
      </c>
      <c r="AN11" s="8">
        <v>39.340000000000003</v>
      </c>
      <c r="AO11" s="8">
        <v>4498.17</v>
      </c>
      <c r="AP11" s="8">
        <v>2859.78</v>
      </c>
      <c r="AQ11" s="8">
        <v>0</v>
      </c>
      <c r="AR11" s="7">
        <v>39308</v>
      </c>
      <c r="AS11" s="8">
        <v>7469.5999999999995</v>
      </c>
      <c r="AT11" s="19">
        <v>182</v>
      </c>
      <c r="AU11" s="8">
        <v>39.590000000000003</v>
      </c>
      <c r="AV11" s="8">
        <v>3718.25</v>
      </c>
      <c r="AW11" s="8">
        <v>2376.27</v>
      </c>
      <c r="AX11" s="9">
        <v>0</v>
      </c>
      <c r="AY11" s="7">
        <v>41474</v>
      </c>
      <c r="AZ11" s="8">
        <v>7728.34</v>
      </c>
      <c r="BA11" s="19">
        <v>187</v>
      </c>
      <c r="BB11" s="8">
        <v>246.73</v>
      </c>
      <c r="BC11" s="8">
        <v>7649.5199999999986</v>
      </c>
      <c r="BD11" s="8">
        <v>4613.28</v>
      </c>
      <c r="BE11" s="9">
        <v>0</v>
      </c>
      <c r="BF11" s="7">
        <v>42867</v>
      </c>
      <c r="BG11" s="8">
        <v>7935.5399999999991</v>
      </c>
      <c r="BH11" s="19">
        <v>195</v>
      </c>
      <c r="BI11" s="8">
        <v>221.53</v>
      </c>
      <c r="BJ11" s="8">
        <v>8307</v>
      </c>
      <c r="BK11" s="8">
        <v>4475.16</v>
      </c>
      <c r="BL11" s="9">
        <v>0</v>
      </c>
      <c r="BM11" s="7">
        <v>44219</v>
      </c>
      <c r="BN11" s="8">
        <v>8123.35</v>
      </c>
      <c r="BO11" s="19">
        <v>233</v>
      </c>
      <c r="BP11" s="8">
        <v>211.85</v>
      </c>
      <c r="BQ11" s="8">
        <v>8426.76</v>
      </c>
      <c r="BR11" s="8">
        <v>4739.97</v>
      </c>
      <c r="BS11" s="9">
        <v>0</v>
      </c>
      <c r="BT11" s="7">
        <v>44831</v>
      </c>
      <c r="BU11" s="8">
        <v>7891.65</v>
      </c>
      <c r="BV11" s="19">
        <v>224</v>
      </c>
      <c r="BW11" s="8">
        <v>216.05</v>
      </c>
      <c r="BX11" s="8">
        <v>8136.52</v>
      </c>
      <c r="BY11" s="8">
        <v>4651.93</v>
      </c>
      <c r="BZ11" s="9">
        <v>0</v>
      </c>
      <c r="CA11" s="7">
        <v>44303</v>
      </c>
      <c r="CB11" s="8">
        <v>10443.57</v>
      </c>
      <c r="CC11" s="19">
        <v>207</v>
      </c>
      <c r="CD11" s="8">
        <v>155.18</v>
      </c>
      <c r="CE11" s="8">
        <v>8663.6</v>
      </c>
      <c r="CF11" s="8">
        <v>4847.5300000000007</v>
      </c>
      <c r="CG11" s="9">
        <v>0</v>
      </c>
      <c r="CH11" s="7">
        <v>43856</v>
      </c>
      <c r="CI11" s="8">
        <v>6878.32</v>
      </c>
      <c r="CJ11" s="19">
        <v>176</v>
      </c>
      <c r="CK11" s="8">
        <v>228.86</v>
      </c>
      <c r="CL11" s="8">
        <v>8444.94</v>
      </c>
      <c r="CM11" s="8">
        <v>4845.2</v>
      </c>
      <c r="CN11" s="9">
        <v>0</v>
      </c>
      <c r="CO11" s="7">
        <v>46053</v>
      </c>
      <c r="CP11" s="8">
        <v>6100.3899999999994</v>
      </c>
      <c r="CQ11" s="19">
        <v>195</v>
      </c>
      <c r="CR11" s="8">
        <v>298.02999999999997</v>
      </c>
      <c r="CS11" s="8">
        <v>7656.5</v>
      </c>
      <c r="CT11" s="8">
        <v>4783.8500000000004</v>
      </c>
      <c r="CU11" s="9">
        <v>0</v>
      </c>
    </row>
    <row r="12" spans="1:99" x14ac:dyDescent="0.25">
      <c r="A12" s="1" t="s">
        <v>29</v>
      </c>
      <c r="B12" s="1">
        <v>0</v>
      </c>
      <c r="C12" s="2">
        <v>0</v>
      </c>
      <c r="D12" s="18">
        <v>0</v>
      </c>
      <c r="E12" s="2">
        <v>0</v>
      </c>
      <c r="F12" s="2">
        <v>0</v>
      </c>
      <c r="G12" s="2">
        <v>0</v>
      </c>
      <c r="H12" s="3">
        <v>0</v>
      </c>
      <c r="I12" s="1">
        <v>1569</v>
      </c>
      <c r="J12" s="2">
        <v>142.38</v>
      </c>
      <c r="K12" s="18">
        <v>6</v>
      </c>
      <c r="L12" s="2">
        <v>0</v>
      </c>
      <c r="M12" s="2">
        <v>56.16</v>
      </c>
      <c r="N12" s="2">
        <v>19.239999999999998</v>
      </c>
      <c r="O12" s="3">
        <v>0</v>
      </c>
      <c r="P12" s="1">
        <v>1414</v>
      </c>
      <c r="Q12" s="2">
        <v>194.77</v>
      </c>
      <c r="R12" s="18">
        <v>8</v>
      </c>
      <c r="S12" s="2">
        <v>7.0000000000000007E-2</v>
      </c>
      <c r="T12" s="2">
        <v>55.78</v>
      </c>
      <c r="U12" s="2">
        <v>18.57</v>
      </c>
      <c r="V12" s="3">
        <v>0</v>
      </c>
      <c r="W12" s="1">
        <v>1789</v>
      </c>
      <c r="X12" s="2">
        <v>117.27</v>
      </c>
      <c r="Y12" s="18">
        <v>6</v>
      </c>
      <c r="Z12" s="2">
        <v>0.32</v>
      </c>
      <c r="AA12" s="2">
        <v>149.76</v>
      </c>
      <c r="AB12" s="2">
        <v>92.529999999999987</v>
      </c>
      <c r="AC12" s="3">
        <v>0</v>
      </c>
      <c r="AD12" s="1">
        <v>1652</v>
      </c>
      <c r="AE12" s="2">
        <v>149.44</v>
      </c>
      <c r="AF12" s="18">
        <v>9</v>
      </c>
      <c r="AG12" s="2">
        <v>0</v>
      </c>
      <c r="AH12" s="2">
        <v>53.8</v>
      </c>
      <c r="AI12" s="2">
        <v>36.92</v>
      </c>
      <c r="AJ12" s="2">
        <v>0</v>
      </c>
      <c r="AK12" s="1">
        <v>1865</v>
      </c>
      <c r="AL12" s="2">
        <v>200.59</v>
      </c>
      <c r="AM12" s="14">
        <v>6</v>
      </c>
      <c r="AN12" s="2">
        <v>0.09</v>
      </c>
      <c r="AO12" s="2">
        <v>136.78</v>
      </c>
      <c r="AP12" s="2">
        <v>80.889999999999986</v>
      </c>
      <c r="AQ12" s="2">
        <v>0</v>
      </c>
      <c r="AR12" s="1">
        <v>2275</v>
      </c>
      <c r="AS12" s="2">
        <v>178.02</v>
      </c>
      <c r="AT12" s="18">
        <v>6</v>
      </c>
      <c r="AU12" s="2">
        <v>0</v>
      </c>
      <c r="AV12" s="2">
        <v>106.76</v>
      </c>
      <c r="AW12" s="2">
        <v>99.570000000000022</v>
      </c>
      <c r="AX12" s="3">
        <v>0</v>
      </c>
      <c r="AY12" s="1">
        <v>2702</v>
      </c>
      <c r="AZ12" s="2">
        <v>865.52999999999986</v>
      </c>
      <c r="BA12" s="18">
        <v>21</v>
      </c>
      <c r="BB12" s="2">
        <v>0.42</v>
      </c>
      <c r="BC12" s="2">
        <v>72.959999999999994</v>
      </c>
      <c r="BD12" s="2">
        <v>35.61</v>
      </c>
      <c r="BE12" s="3">
        <v>0</v>
      </c>
      <c r="BF12" s="1">
        <v>2599</v>
      </c>
      <c r="BG12" s="2">
        <v>115.37</v>
      </c>
      <c r="BH12" s="18">
        <v>26</v>
      </c>
      <c r="BI12" s="2">
        <v>0</v>
      </c>
      <c r="BJ12" s="2">
        <v>151.83000000000001</v>
      </c>
      <c r="BK12" s="2">
        <v>82.289999999999992</v>
      </c>
      <c r="BL12" s="3">
        <v>0</v>
      </c>
      <c r="BM12" s="1">
        <v>2459</v>
      </c>
      <c r="BN12" s="2">
        <v>199.66</v>
      </c>
      <c r="BO12" s="18">
        <v>12</v>
      </c>
      <c r="BP12" s="2">
        <v>0</v>
      </c>
      <c r="BQ12" s="2">
        <v>46.28</v>
      </c>
      <c r="BR12" s="2">
        <v>42.430000000000007</v>
      </c>
      <c r="BS12" s="3">
        <v>0</v>
      </c>
      <c r="BT12" s="1">
        <v>1816</v>
      </c>
      <c r="BU12" s="2">
        <v>133.38999999999999</v>
      </c>
      <c r="BV12" s="18">
        <v>21</v>
      </c>
      <c r="BW12" s="2">
        <v>0</v>
      </c>
      <c r="BX12" s="2">
        <v>42.78</v>
      </c>
      <c r="BY12" s="2">
        <v>29.91</v>
      </c>
      <c r="BZ12" s="3">
        <v>0</v>
      </c>
      <c r="CA12" s="1">
        <v>1756</v>
      </c>
      <c r="CB12" s="2">
        <v>209.39</v>
      </c>
      <c r="CC12" s="18">
        <v>8</v>
      </c>
      <c r="CD12" s="2">
        <v>0</v>
      </c>
      <c r="CE12" s="2">
        <v>108.37</v>
      </c>
      <c r="CF12" s="2">
        <v>60.5</v>
      </c>
      <c r="CG12" s="3">
        <v>0</v>
      </c>
      <c r="CH12" s="1">
        <v>1359</v>
      </c>
      <c r="CI12" s="2">
        <v>159.91</v>
      </c>
      <c r="CJ12" s="18">
        <v>2</v>
      </c>
      <c r="CK12" s="2">
        <v>0</v>
      </c>
      <c r="CL12" s="2">
        <v>15.64</v>
      </c>
      <c r="CM12" s="2">
        <v>9.67</v>
      </c>
      <c r="CN12" s="3">
        <v>0</v>
      </c>
      <c r="CO12" s="1">
        <v>1377</v>
      </c>
      <c r="CP12" s="2">
        <v>146.28</v>
      </c>
      <c r="CQ12" s="18">
        <v>4</v>
      </c>
      <c r="CR12" s="2">
        <v>0.11</v>
      </c>
      <c r="CS12" s="2">
        <v>253.42</v>
      </c>
      <c r="CT12" s="2">
        <v>10.68</v>
      </c>
      <c r="CU12" s="3">
        <v>0</v>
      </c>
    </row>
    <row r="13" spans="1:99" x14ac:dyDescent="0.25">
      <c r="A13" s="1" t="s">
        <v>32</v>
      </c>
      <c r="B13" s="1">
        <v>0</v>
      </c>
      <c r="C13" s="2">
        <v>0</v>
      </c>
      <c r="D13" s="18">
        <v>0</v>
      </c>
      <c r="E13" s="2">
        <v>0</v>
      </c>
      <c r="F13" s="2">
        <v>0</v>
      </c>
      <c r="G13" s="2">
        <v>0</v>
      </c>
      <c r="H13" s="3">
        <v>0</v>
      </c>
      <c r="I13" s="1">
        <v>908</v>
      </c>
      <c r="J13" s="2">
        <v>17.71</v>
      </c>
      <c r="K13" s="18">
        <v>13</v>
      </c>
      <c r="L13" s="2">
        <v>4.4700000000000006</v>
      </c>
      <c r="M13" s="2">
        <v>668.22</v>
      </c>
      <c r="N13" s="2">
        <v>142.15</v>
      </c>
      <c r="O13" s="3">
        <v>0</v>
      </c>
      <c r="P13" s="1">
        <v>879</v>
      </c>
      <c r="Q13" s="2">
        <v>43.58</v>
      </c>
      <c r="R13" s="18">
        <v>10</v>
      </c>
      <c r="S13" s="2">
        <v>0.51</v>
      </c>
      <c r="T13" s="2">
        <v>42.14</v>
      </c>
      <c r="U13" s="2">
        <v>13.25</v>
      </c>
      <c r="V13" s="3">
        <v>0</v>
      </c>
      <c r="W13" s="1">
        <v>1212</v>
      </c>
      <c r="X13" s="2">
        <v>39.880000000000003</v>
      </c>
      <c r="Y13" s="18">
        <v>19</v>
      </c>
      <c r="Z13" s="2">
        <v>2.66</v>
      </c>
      <c r="AA13" s="2">
        <v>90.19</v>
      </c>
      <c r="AB13" s="2">
        <v>42.81</v>
      </c>
      <c r="AC13" s="3">
        <v>0</v>
      </c>
      <c r="AD13" s="1">
        <v>1296</v>
      </c>
      <c r="AE13" s="2">
        <v>42.4</v>
      </c>
      <c r="AF13" s="18">
        <v>13</v>
      </c>
      <c r="AG13" s="2">
        <v>0.74</v>
      </c>
      <c r="AH13" s="2">
        <v>61.97</v>
      </c>
      <c r="AI13" s="2">
        <v>32.19</v>
      </c>
      <c r="AJ13" s="2">
        <v>0</v>
      </c>
      <c r="AK13" s="1">
        <v>1570</v>
      </c>
      <c r="AL13" s="2">
        <v>33.49</v>
      </c>
      <c r="AM13" s="14">
        <v>18</v>
      </c>
      <c r="AN13" s="2">
        <v>1.37</v>
      </c>
      <c r="AO13" s="2">
        <v>48.599999999999987</v>
      </c>
      <c r="AP13" s="2">
        <v>26.88</v>
      </c>
      <c r="AQ13" s="2">
        <v>0</v>
      </c>
      <c r="AR13" s="1">
        <v>1909</v>
      </c>
      <c r="AS13" s="2">
        <v>56.739999999999988</v>
      </c>
      <c r="AT13" s="18">
        <v>31</v>
      </c>
      <c r="AU13" s="2">
        <v>5.7200000000000006</v>
      </c>
      <c r="AV13" s="2">
        <v>123.79</v>
      </c>
      <c r="AW13" s="2">
        <v>80.12</v>
      </c>
      <c r="AX13" s="3">
        <v>0</v>
      </c>
      <c r="AY13" s="1">
        <v>1771</v>
      </c>
      <c r="AZ13" s="2">
        <v>71.5</v>
      </c>
      <c r="BA13" s="18">
        <v>22</v>
      </c>
      <c r="BB13" s="2">
        <v>14.91</v>
      </c>
      <c r="BC13" s="2">
        <v>238.48</v>
      </c>
      <c r="BD13" s="2">
        <v>72.349999999999994</v>
      </c>
      <c r="BE13" s="3">
        <v>0</v>
      </c>
      <c r="BF13" s="1">
        <v>1781</v>
      </c>
      <c r="BG13" s="2">
        <v>47.71</v>
      </c>
      <c r="BH13" s="18">
        <v>35</v>
      </c>
      <c r="BI13" s="2">
        <v>10.15</v>
      </c>
      <c r="BJ13" s="2">
        <v>290.49</v>
      </c>
      <c r="BK13" s="2">
        <v>134.87</v>
      </c>
      <c r="BL13" s="3">
        <v>0</v>
      </c>
      <c r="BM13" s="1">
        <v>2010</v>
      </c>
      <c r="BN13" s="2">
        <v>43.75</v>
      </c>
      <c r="BO13" s="18">
        <v>33</v>
      </c>
      <c r="BP13" s="2">
        <v>12.55</v>
      </c>
      <c r="BQ13" s="2">
        <v>123.36</v>
      </c>
      <c r="BR13" s="2">
        <v>75.919999999999987</v>
      </c>
      <c r="BS13" s="3">
        <v>0</v>
      </c>
      <c r="BT13" s="1">
        <v>1897</v>
      </c>
      <c r="BU13" s="2">
        <v>58.03</v>
      </c>
      <c r="BV13" s="18">
        <v>48</v>
      </c>
      <c r="BW13" s="2">
        <v>10.31</v>
      </c>
      <c r="BX13" s="2">
        <v>465.45</v>
      </c>
      <c r="BY13" s="2">
        <v>210.39</v>
      </c>
      <c r="BZ13" s="3">
        <v>0</v>
      </c>
      <c r="CA13" s="1">
        <v>1902</v>
      </c>
      <c r="CB13" s="2">
        <v>51.510000000000012</v>
      </c>
      <c r="CC13" s="18">
        <v>28</v>
      </c>
      <c r="CD13" s="2">
        <v>11.79</v>
      </c>
      <c r="CE13" s="2">
        <v>265.43</v>
      </c>
      <c r="CF13" s="2">
        <v>85.919999999999987</v>
      </c>
      <c r="CG13" s="3">
        <v>0</v>
      </c>
      <c r="CH13" s="1">
        <v>1201</v>
      </c>
      <c r="CI13" s="2">
        <v>68.45</v>
      </c>
      <c r="CJ13" s="18">
        <v>9</v>
      </c>
      <c r="CK13" s="2">
        <v>66.990000000000009</v>
      </c>
      <c r="CL13" s="2">
        <v>274.57000000000011</v>
      </c>
      <c r="CM13" s="2">
        <v>129</v>
      </c>
      <c r="CN13" s="3">
        <v>0</v>
      </c>
      <c r="CO13" s="1">
        <v>1222</v>
      </c>
      <c r="CP13" s="2">
        <v>36.489999999999988</v>
      </c>
      <c r="CQ13" s="18">
        <v>16</v>
      </c>
      <c r="CR13" s="2">
        <v>1.24</v>
      </c>
      <c r="CS13" s="2">
        <v>109.44</v>
      </c>
      <c r="CT13" s="2">
        <v>36.99</v>
      </c>
      <c r="CU13" s="3">
        <v>0</v>
      </c>
    </row>
    <row r="14" spans="1:99" x14ac:dyDescent="0.25">
      <c r="A14" s="1" t="s">
        <v>28</v>
      </c>
      <c r="B14" s="1">
        <v>994</v>
      </c>
      <c r="C14" s="2">
        <v>0</v>
      </c>
      <c r="D14" s="18">
        <v>11</v>
      </c>
      <c r="E14" s="2">
        <v>0.31000000000000011</v>
      </c>
      <c r="F14" s="2">
        <v>26.77</v>
      </c>
      <c r="G14" s="2">
        <v>11.82</v>
      </c>
      <c r="H14" s="3">
        <v>0</v>
      </c>
      <c r="I14" s="1">
        <v>1139</v>
      </c>
      <c r="J14" s="2">
        <v>0</v>
      </c>
      <c r="K14" s="18">
        <v>14</v>
      </c>
      <c r="L14" s="2">
        <v>0.8600000000000001</v>
      </c>
      <c r="M14" s="2">
        <v>31.58</v>
      </c>
      <c r="N14" s="2">
        <v>12.45</v>
      </c>
      <c r="O14" s="3">
        <v>0</v>
      </c>
      <c r="P14" s="1">
        <v>877</v>
      </c>
      <c r="Q14" s="2">
        <v>0</v>
      </c>
      <c r="R14" s="18">
        <v>6</v>
      </c>
      <c r="S14" s="2">
        <v>0.14000000000000001</v>
      </c>
      <c r="T14" s="2">
        <v>23.72</v>
      </c>
      <c r="U14" s="2">
        <v>7.9</v>
      </c>
      <c r="V14" s="3">
        <v>0</v>
      </c>
      <c r="W14" s="1">
        <v>1173</v>
      </c>
      <c r="X14" s="2">
        <v>0</v>
      </c>
      <c r="Y14" s="18">
        <v>10</v>
      </c>
      <c r="Z14" s="2">
        <v>0.01</v>
      </c>
      <c r="AA14" s="2">
        <v>11.9</v>
      </c>
      <c r="AB14" s="2">
        <v>5.65</v>
      </c>
      <c r="AC14" s="3">
        <v>0</v>
      </c>
      <c r="AD14" s="1">
        <v>753</v>
      </c>
      <c r="AE14" s="2">
        <v>0</v>
      </c>
      <c r="AF14" s="18">
        <v>7</v>
      </c>
      <c r="AG14" s="2">
        <v>0.17</v>
      </c>
      <c r="AH14" s="2">
        <v>19.41</v>
      </c>
      <c r="AI14" s="2">
        <v>13.14</v>
      </c>
      <c r="AJ14" s="2">
        <v>0</v>
      </c>
      <c r="AK14" s="1">
        <v>1065</v>
      </c>
      <c r="AL14" s="2">
        <v>0</v>
      </c>
      <c r="AM14" s="14">
        <v>4</v>
      </c>
      <c r="AN14" s="2">
        <v>0.09</v>
      </c>
      <c r="AO14" s="2">
        <v>9.24</v>
      </c>
      <c r="AP14" s="2">
        <v>7.65</v>
      </c>
      <c r="AQ14" s="2">
        <v>0</v>
      </c>
      <c r="AR14" s="1">
        <v>951</v>
      </c>
      <c r="AS14" s="2">
        <v>0</v>
      </c>
      <c r="AT14" s="18">
        <v>17</v>
      </c>
      <c r="AU14" s="2">
        <v>1.38</v>
      </c>
      <c r="AV14" s="2">
        <v>26.92</v>
      </c>
      <c r="AW14" s="2">
        <v>13.1</v>
      </c>
      <c r="AX14" s="3">
        <v>0</v>
      </c>
      <c r="AY14" s="1">
        <v>1143</v>
      </c>
      <c r="AZ14" s="2">
        <v>0</v>
      </c>
      <c r="BA14" s="18">
        <v>9</v>
      </c>
      <c r="BB14" s="2">
        <v>1.67</v>
      </c>
      <c r="BC14" s="2">
        <v>81.790000000000006</v>
      </c>
      <c r="BD14" s="2">
        <v>19</v>
      </c>
      <c r="BE14" s="3">
        <v>0</v>
      </c>
      <c r="BF14" s="1">
        <v>1502</v>
      </c>
      <c r="BG14" s="2">
        <v>0</v>
      </c>
      <c r="BH14" s="18">
        <v>7</v>
      </c>
      <c r="BI14" s="2">
        <v>1.36</v>
      </c>
      <c r="BJ14" s="2">
        <v>16.95</v>
      </c>
      <c r="BK14" s="2">
        <v>14.8</v>
      </c>
      <c r="BL14" s="3">
        <v>0</v>
      </c>
      <c r="BM14" s="1">
        <v>1565</v>
      </c>
      <c r="BN14" s="2">
        <v>0</v>
      </c>
      <c r="BO14" s="18">
        <v>17</v>
      </c>
      <c r="BP14" s="2">
        <v>3.07</v>
      </c>
      <c r="BQ14" s="2">
        <v>44.61999999999999</v>
      </c>
      <c r="BR14" s="2">
        <v>26.53</v>
      </c>
      <c r="BS14" s="3">
        <v>0</v>
      </c>
      <c r="BT14" s="1">
        <v>2039</v>
      </c>
      <c r="BU14" s="2">
        <v>0</v>
      </c>
      <c r="BV14" s="18">
        <v>26</v>
      </c>
      <c r="BW14" s="2">
        <v>0.67</v>
      </c>
      <c r="BX14" s="2">
        <v>107.88</v>
      </c>
      <c r="BY14" s="2">
        <v>41.400000000000013</v>
      </c>
      <c r="BZ14" s="3">
        <v>0</v>
      </c>
      <c r="CA14" s="1">
        <v>1983</v>
      </c>
      <c r="CB14" s="2">
        <v>0</v>
      </c>
      <c r="CC14" s="18">
        <v>19</v>
      </c>
      <c r="CD14" s="2">
        <v>7.0000000000000007E-2</v>
      </c>
      <c r="CE14" s="2">
        <v>85.240000000000009</v>
      </c>
      <c r="CF14" s="2">
        <v>24.35</v>
      </c>
      <c r="CG14" s="3">
        <v>0</v>
      </c>
      <c r="CH14" s="1">
        <v>1815</v>
      </c>
      <c r="CI14" s="2">
        <v>0</v>
      </c>
      <c r="CJ14" s="18">
        <v>26</v>
      </c>
      <c r="CK14" s="2">
        <v>16.34</v>
      </c>
      <c r="CL14" s="2">
        <v>101.59</v>
      </c>
      <c r="CM14" s="2">
        <v>84.1</v>
      </c>
      <c r="CN14" s="3">
        <v>0</v>
      </c>
      <c r="CO14" s="1">
        <v>0</v>
      </c>
      <c r="CP14" s="2">
        <v>0</v>
      </c>
      <c r="CQ14" s="18">
        <v>0</v>
      </c>
      <c r="CR14" s="2">
        <v>0</v>
      </c>
      <c r="CS14" s="2">
        <v>0</v>
      </c>
      <c r="CT14" s="2">
        <v>0</v>
      </c>
      <c r="CU14" s="3">
        <v>0</v>
      </c>
    </row>
    <row r="15" spans="1:99" x14ac:dyDescent="0.25">
      <c r="A15" s="1" t="s">
        <v>22</v>
      </c>
      <c r="B15" s="1">
        <v>1187</v>
      </c>
      <c r="C15" s="2">
        <v>0</v>
      </c>
      <c r="D15" s="18">
        <v>11</v>
      </c>
      <c r="E15" s="2">
        <v>3.98</v>
      </c>
      <c r="F15" s="2">
        <v>56.3</v>
      </c>
      <c r="G15" s="2">
        <v>35.58</v>
      </c>
      <c r="H15" s="3">
        <v>0</v>
      </c>
      <c r="I15" s="1">
        <v>1990</v>
      </c>
      <c r="J15" s="2">
        <v>0</v>
      </c>
      <c r="K15" s="18">
        <v>22</v>
      </c>
      <c r="L15" s="2">
        <v>9.2999999999999989</v>
      </c>
      <c r="M15" s="2">
        <v>117.61</v>
      </c>
      <c r="N15" s="2">
        <v>64.77000000000001</v>
      </c>
      <c r="O15" s="3">
        <v>0</v>
      </c>
      <c r="P15" s="1">
        <v>1550</v>
      </c>
      <c r="Q15" s="2">
        <v>0</v>
      </c>
      <c r="R15" s="18">
        <v>15</v>
      </c>
      <c r="S15" s="2">
        <v>2.86</v>
      </c>
      <c r="T15" s="2">
        <v>71.820000000000007</v>
      </c>
      <c r="U15" s="2">
        <v>46.95</v>
      </c>
      <c r="V15" s="3">
        <v>0</v>
      </c>
      <c r="W15" s="1">
        <v>1631</v>
      </c>
      <c r="X15" s="2">
        <v>0</v>
      </c>
      <c r="Y15" s="18">
        <v>14</v>
      </c>
      <c r="Z15" s="2">
        <v>4.5199999999999996</v>
      </c>
      <c r="AA15" s="2">
        <v>748.27000000000021</v>
      </c>
      <c r="AB15" s="2">
        <v>173.41</v>
      </c>
      <c r="AC15" s="3">
        <v>0</v>
      </c>
      <c r="AD15" s="1">
        <v>1154</v>
      </c>
      <c r="AE15" s="2">
        <v>0</v>
      </c>
      <c r="AF15" s="18">
        <v>8</v>
      </c>
      <c r="AG15" s="2">
        <v>3.6</v>
      </c>
      <c r="AH15" s="2">
        <v>45.37</v>
      </c>
      <c r="AI15" s="2">
        <v>31.21</v>
      </c>
      <c r="AJ15" s="2">
        <v>0</v>
      </c>
      <c r="AK15" s="1">
        <v>1117</v>
      </c>
      <c r="AL15" s="2">
        <v>0</v>
      </c>
      <c r="AM15" s="14">
        <v>18</v>
      </c>
      <c r="AN15" s="2">
        <v>6.68</v>
      </c>
      <c r="AO15" s="2">
        <v>48.56</v>
      </c>
      <c r="AP15" s="2">
        <v>33.61</v>
      </c>
      <c r="AQ15" s="2">
        <v>0</v>
      </c>
      <c r="AR15" s="1">
        <v>1114</v>
      </c>
      <c r="AS15" s="2">
        <v>0</v>
      </c>
      <c r="AT15" s="18">
        <v>29</v>
      </c>
      <c r="AU15" s="2">
        <v>7.99</v>
      </c>
      <c r="AV15" s="2">
        <v>101.59</v>
      </c>
      <c r="AW15" s="2">
        <v>73.349999999999994</v>
      </c>
      <c r="AX15" s="3">
        <v>0</v>
      </c>
      <c r="AY15" s="1">
        <v>1375</v>
      </c>
      <c r="AZ15" s="2">
        <v>0</v>
      </c>
      <c r="BA15" s="18">
        <v>18</v>
      </c>
      <c r="BB15" s="2">
        <v>20.45</v>
      </c>
      <c r="BC15" s="2">
        <v>272.83</v>
      </c>
      <c r="BD15" s="2">
        <v>116.43</v>
      </c>
      <c r="BE15" s="3">
        <v>0</v>
      </c>
      <c r="BF15" s="1">
        <v>1499</v>
      </c>
      <c r="BG15" s="2">
        <v>0.03</v>
      </c>
      <c r="BH15" s="18">
        <v>28</v>
      </c>
      <c r="BI15" s="2">
        <v>10.66</v>
      </c>
      <c r="BJ15" s="2">
        <v>193.49</v>
      </c>
      <c r="BK15" s="2">
        <v>89.03</v>
      </c>
      <c r="BL15" s="3">
        <v>0</v>
      </c>
      <c r="BM15" s="1">
        <v>1384</v>
      </c>
      <c r="BN15" s="2">
        <v>0</v>
      </c>
      <c r="BO15" s="18">
        <v>23</v>
      </c>
      <c r="BP15" s="2">
        <v>1.68</v>
      </c>
      <c r="BQ15" s="2">
        <v>181.08</v>
      </c>
      <c r="BR15" s="2">
        <v>44.95</v>
      </c>
      <c r="BS15" s="3">
        <v>0</v>
      </c>
      <c r="BT15" s="1">
        <v>1667</v>
      </c>
      <c r="BU15" s="2">
        <v>0</v>
      </c>
      <c r="BV15" s="18">
        <v>30</v>
      </c>
      <c r="BW15" s="2">
        <v>35.28</v>
      </c>
      <c r="BX15" s="2">
        <v>332.35</v>
      </c>
      <c r="BY15" s="2">
        <v>110.86</v>
      </c>
      <c r="BZ15" s="3">
        <v>0</v>
      </c>
      <c r="CA15" s="1">
        <v>2046</v>
      </c>
      <c r="CB15" s="2">
        <v>0</v>
      </c>
      <c r="CC15" s="18">
        <v>36</v>
      </c>
      <c r="CD15" s="2">
        <v>16.64</v>
      </c>
      <c r="CE15" s="2">
        <v>168.83</v>
      </c>
      <c r="CF15" s="2">
        <v>123.01</v>
      </c>
      <c r="CG15" s="3">
        <v>0</v>
      </c>
      <c r="CH15" s="1">
        <v>2185</v>
      </c>
      <c r="CI15" s="2">
        <v>0</v>
      </c>
      <c r="CJ15" s="18">
        <v>59</v>
      </c>
      <c r="CK15" s="2">
        <v>4.5199999999999996</v>
      </c>
      <c r="CL15" s="2">
        <v>395.79</v>
      </c>
      <c r="CM15" s="2">
        <v>77.97999999999999</v>
      </c>
      <c r="CN15" s="3">
        <v>0</v>
      </c>
      <c r="CO15" s="1">
        <v>0</v>
      </c>
      <c r="CP15" s="2">
        <v>0</v>
      </c>
      <c r="CQ15" s="18">
        <v>0</v>
      </c>
      <c r="CR15" s="2">
        <v>0</v>
      </c>
      <c r="CS15" s="2">
        <v>0</v>
      </c>
      <c r="CT15" s="2">
        <v>0</v>
      </c>
      <c r="CU15" s="3">
        <v>0</v>
      </c>
    </row>
    <row r="16" spans="1:99" x14ac:dyDescent="0.25">
      <c r="A16" s="1" t="s">
        <v>27</v>
      </c>
      <c r="B16" s="1">
        <v>406</v>
      </c>
      <c r="C16" s="2">
        <v>70.41</v>
      </c>
      <c r="D16" s="18">
        <v>0</v>
      </c>
      <c r="E16" s="2">
        <v>0.21</v>
      </c>
      <c r="F16" s="2">
        <v>78.710000000000008</v>
      </c>
      <c r="G16" s="2">
        <v>72.599999999999994</v>
      </c>
      <c r="H16" s="3">
        <v>0</v>
      </c>
      <c r="I16" s="1">
        <v>543</v>
      </c>
      <c r="J16" s="2">
        <v>81.860000000000014</v>
      </c>
      <c r="K16" s="18">
        <v>0</v>
      </c>
      <c r="L16" s="2">
        <v>0.16</v>
      </c>
      <c r="M16" s="2">
        <v>73.72</v>
      </c>
      <c r="N16" s="2">
        <v>67.47</v>
      </c>
      <c r="O16" s="3">
        <v>0</v>
      </c>
      <c r="P16" s="1">
        <v>673</v>
      </c>
      <c r="Q16" s="2">
        <v>99.59</v>
      </c>
      <c r="R16" s="18">
        <v>0</v>
      </c>
      <c r="S16" s="2">
        <v>0.26</v>
      </c>
      <c r="T16" s="2">
        <v>72.259999999999991</v>
      </c>
      <c r="U16" s="2">
        <v>67.56</v>
      </c>
      <c r="V16" s="3">
        <v>0</v>
      </c>
      <c r="W16" s="1">
        <v>815</v>
      </c>
      <c r="X16" s="2">
        <v>147.66</v>
      </c>
      <c r="Y16" s="18">
        <v>1</v>
      </c>
      <c r="Z16" s="2">
        <v>0.26</v>
      </c>
      <c r="AA16" s="2">
        <v>78</v>
      </c>
      <c r="AB16" s="2">
        <v>70.180000000000007</v>
      </c>
      <c r="AC16" s="3">
        <v>0</v>
      </c>
      <c r="AD16" s="1">
        <v>816</v>
      </c>
      <c r="AE16" s="2">
        <v>106.79</v>
      </c>
      <c r="AF16" s="18">
        <v>0</v>
      </c>
      <c r="AG16" s="2">
        <v>0.22</v>
      </c>
      <c r="AH16" s="2">
        <v>73.850000000000009</v>
      </c>
      <c r="AI16" s="2">
        <v>67.41</v>
      </c>
      <c r="AJ16" s="2">
        <v>0</v>
      </c>
      <c r="AK16" s="1">
        <v>797</v>
      </c>
      <c r="AL16" s="2">
        <v>76.62</v>
      </c>
      <c r="AM16" s="14">
        <v>1</v>
      </c>
      <c r="AN16" s="2">
        <v>0.22</v>
      </c>
      <c r="AO16" s="2">
        <v>73.41</v>
      </c>
      <c r="AP16" s="2">
        <v>66.75</v>
      </c>
      <c r="AQ16" s="2">
        <v>0</v>
      </c>
      <c r="AR16" s="1">
        <v>735</v>
      </c>
      <c r="AS16" s="2">
        <v>53.820000000000007</v>
      </c>
      <c r="AT16" s="18">
        <v>0</v>
      </c>
      <c r="AU16" s="2">
        <v>0.25</v>
      </c>
      <c r="AV16" s="2">
        <v>71.240000000000009</v>
      </c>
      <c r="AW16" s="2">
        <v>66.06</v>
      </c>
      <c r="AX16" s="3">
        <v>0</v>
      </c>
      <c r="AY16" s="1">
        <v>799</v>
      </c>
      <c r="AZ16" s="2">
        <v>77.56</v>
      </c>
      <c r="BA16" s="18">
        <v>0</v>
      </c>
      <c r="BB16" s="2">
        <v>0.14000000000000001</v>
      </c>
      <c r="BC16" s="2">
        <v>69.490000000000009</v>
      </c>
      <c r="BD16" s="2">
        <v>64.429999999999993</v>
      </c>
      <c r="BE16" s="3">
        <v>0</v>
      </c>
      <c r="BF16" s="1">
        <v>1077</v>
      </c>
      <c r="BG16" s="2">
        <v>37.39</v>
      </c>
      <c r="BH16" s="18">
        <v>0</v>
      </c>
      <c r="BI16" s="2">
        <v>0.5</v>
      </c>
      <c r="BJ16" s="2">
        <v>64.78</v>
      </c>
      <c r="BK16" s="2">
        <v>60.63</v>
      </c>
      <c r="BL16" s="3">
        <v>0</v>
      </c>
      <c r="BM16" s="1">
        <v>1062</v>
      </c>
      <c r="BN16" s="2">
        <v>49.75</v>
      </c>
      <c r="BO16" s="18">
        <v>1</v>
      </c>
      <c r="BP16" s="2">
        <v>0.5</v>
      </c>
      <c r="BQ16" s="2">
        <v>64.42</v>
      </c>
      <c r="BR16" s="2">
        <v>59.56</v>
      </c>
      <c r="BS16" s="3">
        <v>0</v>
      </c>
      <c r="BT16" s="1">
        <v>1085</v>
      </c>
      <c r="BU16" s="2">
        <v>39.71</v>
      </c>
      <c r="BV16" s="18">
        <v>0</v>
      </c>
      <c r="BW16" s="2">
        <v>0.18</v>
      </c>
      <c r="BX16" s="2">
        <v>53.87</v>
      </c>
      <c r="BY16" s="2">
        <v>50.8</v>
      </c>
      <c r="BZ16" s="3">
        <v>0</v>
      </c>
      <c r="CA16" s="1">
        <v>1019</v>
      </c>
      <c r="CB16" s="2">
        <v>32.61</v>
      </c>
      <c r="CC16" s="18">
        <v>0</v>
      </c>
      <c r="CD16" s="2">
        <v>0.09</v>
      </c>
      <c r="CE16" s="2">
        <v>54.58</v>
      </c>
      <c r="CF16" s="2">
        <v>51.31</v>
      </c>
      <c r="CG16" s="3">
        <v>0</v>
      </c>
      <c r="CH16" s="1">
        <v>976</v>
      </c>
      <c r="CI16" s="2">
        <v>27.83</v>
      </c>
      <c r="CJ16" s="18">
        <v>0</v>
      </c>
      <c r="CK16" s="2">
        <v>0.01</v>
      </c>
      <c r="CL16" s="2">
        <v>4.0500000000000007</v>
      </c>
      <c r="CM16" s="2">
        <v>2.0299999999999998</v>
      </c>
      <c r="CN16" s="3">
        <v>0</v>
      </c>
      <c r="CO16" s="1">
        <v>822</v>
      </c>
      <c r="CP16" s="2">
        <v>13.08</v>
      </c>
      <c r="CQ16" s="18">
        <v>0</v>
      </c>
      <c r="CR16" s="2">
        <v>0.02</v>
      </c>
      <c r="CS16" s="2">
        <v>2.85</v>
      </c>
      <c r="CT16" s="2">
        <v>0.6</v>
      </c>
      <c r="CU16" s="3">
        <v>0</v>
      </c>
    </row>
    <row r="17" spans="1:99" x14ac:dyDescent="0.25">
      <c r="A17" s="1" t="s">
        <v>26</v>
      </c>
      <c r="B17" s="1">
        <v>1604</v>
      </c>
      <c r="C17" s="2">
        <v>59.99</v>
      </c>
      <c r="D17" s="18">
        <v>1</v>
      </c>
      <c r="E17" s="2">
        <v>0</v>
      </c>
      <c r="F17" s="2">
        <v>10.95</v>
      </c>
      <c r="G17" s="2">
        <v>3.65</v>
      </c>
      <c r="H17" s="3">
        <v>0</v>
      </c>
      <c r="I17" s="1">
        <v>1473</v>
      </c>
      <c r="J17" s="2">
        <v>22.84</v>
      </c>
      <c r="K17" s="18">
        <v>1</v>
      </c>
      <c r="L17" s="2">
        <v>0.03</v>
      </c>
      <c r="M17" s="2">
        <v>9.4499999999999993</v>
      </c>
      <c r="N17" s="2">
        <v>2.81</v>
      </c>
      <c r="O17" s="3">
        <v>0</v>
      </c>
      <c r="P17" s="1">
        <v>1342</v>
      </c>
      <c r="Q17" s="2">
        <v>20.350000000000001</v>
      </c>
      <c r="R17" s="18">
        <v>0</v>
      </c>
      <c r="S17" s="2">
        <v>0</v>
      </c>
      <c r="T17" s="2">
        <v>8.120000000000001</v>
      </c>
      <c r="U17" s="2">
        <v>2.62</v>
      </c>
      <c r="V17" s="3">
        <v>0</v>
      </c>
      <c r="W17" s="1">
        <v>1275</v>
      </c>
      <c r="X17" s="2">
        <v>19.27</v>
      </c>
      <c r="Y17" s="18">
        <v>0</v>
      </c>
      <c r="Z17" s="2">
        <v>0</v>
      </c>
      <c r="AA17" s="2">
        <v>6.58</v>
      </c>
      <c r="AB17" s="2">
        <v>2.27</v>
      </c>
      <c r="AC17" s="3">
        <v>0</v>
      </c>
      <c r="AD17" s="1">
        <v>1121</v>
      </c>
      <c r="AE17" s="2">
        <v>18.54</v>
      </c>
      <c r="AF17" s="18">
        <v>0</v>
      </c>
      <c r="AG17" s="2">
        <v>0.01</v>
      </c>
      <c r="AH17" s="2">
        <v>3.49</v>
      </c>
      <c r="AI17" s="2">
        <v>1.8</v>
      </c>
      <c r="AJ17" s="2">
        <v>0</v>
      </c>
      <c r="AK17" s="1">
        <v>936</v>
      </c>
      <c r="AL17" s="2">
        <v>12.91</v>
      </c>
      <c r="AM17" s="14">
        <v>0</v>
      </c>
      <c r="AN17" s="2">
        <v>0</v>
      </c>
      <c r="AO17" s="2">
        <v>3.08</v>
      </c>
      <c r="AP17" s="2">
        <v>1.31</v>
      </c>
      <c r="AQ17" s="2">
        <v>0</v>
      </c>
      <c r="AR17" s="1">
        <v>825</v>
      </c>
      <c r="AS17" s="2">
        <v>9.36</v>
      </c>
      <c r="AT17" s="18">
        <v>0</v>
      </c>
      <c r="AU17" s="2">
        <v>0</v>
      </c>
      <c r="AV17" s="2">
        <v>2.85</v>
      </c>
      <c r="AW17" s="2">
        <v>1.1100000000000001</v>
      </c>
      <c r="AX17" s="3">
        <v>0</v>
      </c>
      <c r="AY17" s="1">
        <v>811</v>
      </c>
      <c r="AZ17" s="2">
        <v>3.34</v>
      </c>
      <c r="BA17" s="18">
        <v>0</v>
      </c>
      <c r="BB17" s="2">
        <v>0</v>
      </c>
      <c r="BC17" s="2">
        <v>2.85</v>
      </c>
      <c r="BD17" s="2">
        <v>0.44</v>
      </c>
      <c r="BE17" s="3">
        <v>0</v>
      </c>
      <c r="BF17" s="1">
        <v>659</v>
      </c>
      <c r="BG17" s="2">
        <v>0</v>
      </c>
      <c r="BH17" s="18">
        <v>0</v>
      </c>
      <c r="BI17" s="2">
        <v>0</v>
      </c>
      <c r="BJ17" s="2">
        <v>0</v>
      </c>
      <c r="BK17" s="2">
        <v>0</v>
      </c>
      <c r="BL17" s="3">
        <v>0</v>
      </c>
      <c r="BM17" s="1">
        <v>423</v>
      </c>
      <c r="BN17" s="2">
        <v>0</v>
      </c>
      <c r="BO17" s="18">
        <v>0</v>
      </c>
      <c r="BP17" s="2">
        <v>0</v>
      </c>
      <c r="BQ17" s="2">
        <v>0</v>
      </c>
      <c r="BR17" s="2">
        <v>0</v>
      </c>
      <c r="BS17" s="3">
        <v>0</v>
      </c>
      <c r="BT17" s="1">
        <v>46</v>
      </c>
      <c r="BU17" s="2">
        <v>0</v>
      </c>
      <c r="BV17" s="18">
        <v>0</v>
      </c>
      <c r="BW17" s="2">
        <v>0</v>
      </c>
      <c r="BX17" s="2">
        <v>0</v>
      </c>
      <c r="BY17" s="2">
        <v>0</v>
      </c>
      <c r="BZ17" s="3">
        <v>0</v>
      </c>
      <c r="CA17" s="1">
        <v>0</v>
      </c>
      <c r="CB17" s="2">
        <v>0</v>
      </c>
      <c r="CC17" s="18">
        <v>0</v>
      </c>
      <c r="CD17" s="2">
        <v>0</v>
      </c>
      <c r="CE17" s="2">
        <v>0</v>
      </c>
      <c r="CF17" s="2">
        <v>0</v>
      </c>
      <c r="CG17" s="3">
        <v>0</v>
      </c>
      <c r="CH17" s="1">
        <v>0</v>
      </c>
      <c r="CI17" s="2">
        <v>0</v>
      </c>
      <c r="CJ17" s="18">
        <v>0</v>
      </c>
      <c r="CK17" s="2">
        <v>0</v>
      </c>
      <c r="CL17" s="2">
        <v>0</v>
      </c>
      <c r="CM17" s="2">
        <v>0</v>
      </c>
      <c r="CN17" s="3">
        <v>0</v>
      </c>
      <c r="CO17" s="1">
        <v>0</v>
      </c>
      <c r="CP17" s="2">
        <v>0</v>
      </c>
      <c r="CQ17" s="18">
        <v>0</v>
      </c>
      <c r="CR17" s="2">
        <v>0</v>
      </c>
      <c r="CS17" s="2">
        <v>0</v>
      </c>
      <c r="CT17" s="2">
        <v>0</v>
      </c>
      <c r="CU17" s="3">
        <v>0</v>
      </c>
    </row>
    <row r="18" spans="1:99" x14ac:dyDescent="0.25">
      <c r="A18" s="4" t="s">
        <v>33</v>
      </c>
      <c r="B18" s="4">
        <v>0</v>
      </c>
      <c r="C18" s="5">
        <v>0</v>
      </c>
      <c r="D18" s="20">
        <v>0</v>
      </c>
      <c r="E18" s="5">
        <v>0</v>
      </c>
      <c r="F18" s="5">
        <v>0</v>
      </c>
      <c r="G18" s="5">
        <v>0</v>
      </c>
      <c r="H18" s="6">
        <v>0</v>
      </c>
      <c r="I18" s="4">
        <v>52</v>
      </c>
      <c r="J18" s="5">
        <v>32.590000000000003</v>
      </c>
      <c r="K18" s="20">
        <v>0</v>
      </c>
      <c r="L18" s="5">
        <v>0</v>
      </c>
      <c r="M18" s="5">
        <v>14.4</v>
      </c>
      <c r="N18" s="5">
        <v>7.31</v>
      </c>
      <c r="O18" s="6">
        <v>0</v>
      </c>
      <c r="P18" s="4">
        <v>2</v>
      </c>
      <c r="Q18" s="5">
        <v>0</v>
      </c>
      <c r="R18" s="20">
        <v>0</v>
      </c>
      <c r="S18" s="5">
        <v>0</v>
      </c>
      <c r="T18" s="5">
        <v>0</v>
      </c>
      <c r="U18" s="5">
        <v>0</v>
      </c>
      <c r="V18" s="6">
        <v>0</v>
      </c>
      <c r="W18" s="4">
        <v>2</v>
      </c>
      <c r="X18" s="5">
        <v>0.19</v>
      </c>
      <c r="Y18" s="20">
        <v>0</v>
      </c>
      <c r="Z18" s="5">
        <v>0</v>
      </c>
      <c r="AA18" s="5">
        <v>0</v>
      </c>
      <c r="AB18" s="5">
        <v>0</v>
      </c>
      <c r="AC18" s="6">
        <v>0</v>
      </c>
      <c r="AD18" s="4">
        <v>0</v>
      </c>
      <c r="AE18" s="5">
        <v>0</v>
      </c>
      <c r="AF18" s="20">
        <v>0</v>
      </c>
      <c r="AG18" s="5">
        <v>0</v>
      </c>
      <c r="AH18" s="5">
        <v>0</v>
      </c>
      <c r="AI18" s="5">
        <v>0</v>
      </c>
      <c r="AJ18" s="5">
        <v>0</v>
      </c>
      <c r="AK18" s="4">
        <v>0</v>
      </c>
      <c r="AL18" s="5">
        <v>0</v>
      </c>
      <c r="AM18" s="15">
        <v>0</v>
      </c>
      <c r="AN18" s="5">
        <v>0</v>
      </c>
      <c r="AO18" s="5">
        <v>0</v>
      </c>
      <c r="AP18" s="5">
        <v>0</v>
      </c>
      <c r="AQ18" s="5">
        <v>0</v>
      </c>
      <c r="AR18" s="4">
        <v>578</v>
      </c>
      <c r="AS18" s="5">
        <v>851.84999999999991</v>
      </c>
      <c r="AT18" s="28">
        <v>39</v>
      </c>
      <c r="AU18" s="5">
        <v>251.41</v>
      </c>
      <c r="AV18" s="5">
        <v>3868.8</v>
      </c>
      <c r="AW18" s="5">
        <v>2019.03</v>
      </c>
      <c r="AX18" s="6">
        <v>0</v>
      </c>
      <c r="AY18" s="4">
        <v>0</v>
      </c>
      <c r="AZ18" s="5">
        <v>0</v>
      </c>
      <c r="BA18" s="20">
        <v>0</v>
      </c>
      <c r="BB18" s="5">
        <v>0</v>
      </c>
      <c r="BC18" s="5">
        <v>0</v>
      </c>
      <c r="BD18" s="5">
        <v>0</v>
      </c>
      <c r="BE18" s="6">
        <v>0</v>
      </c>
      <c r="BF18" s="4">
        <v>0</v>
      </c>
      <c r="BG18" s="5">
        <v>0</v>
      </c>
      <c r="BH18" s="20">
        <v>0</v>
      </c>
      <c r="BI18" s="5">
        <v>0</v>
      </c>
      <c r="BJ18" s="5">
        <v>0</v>
      </c>
      <c r="BK18" s="5">
        <v>0</v>
      </c>
      <c r="BL18" s="6">
        <v>0</v>
      </c>
      <c r="BM18" s="4">
        <v>0</v>
      </c>
      <c r="BN18" s="5">
        <v>0</v>
      </c>
      <c r="BO18" s="20">
        <v>0</v>
      </c>
      <c r="BP18" s="5">
        <v>0</v>
      </c>
      <c r="BQ18" s="5">
        <v>0</v>
      </c>
      <c r="BR18" s="5">
        <v>0</v>
      </c>
      <c r="BS18" s="6">
        <v>0</v>
      </c>
      <c r="BT18" s="4">
        <v>0</v>
      </c>
      <c r="BU18" s="5">
        <v>0</v>
      </c>
      <c r="BV18" s="20">
        <v>0</v>
      </c>
      <c r="BW18" s="5">
        <v>0</v>
      </c>
      <c r="BX18" s="5">
        <v>0</v>
      </c>
      <c r="BY18" s="5">
        <v>0</v>
      </c>
      <c r="BZ18" s="6">
        <v>0</v>
      </c>
      <c r="CA18" s="4">
        <v>0</v>
      </c>
      <c r="CB18" s="5">
        <v>0</v>
      </c>
      <c r="CC18" s="20">
        <v>0</v>
      </c>
      <c r="CD18" s="5">
        <v>0</v>
      </c>
      <c r="CE18" s="5">
        <v>0</v>
      </c>
      <c r="CF18" s="5">
        <v>0</v>
      </c>
      <c r="CG18" s="6">
        <v>0</v>
      </c>
      <c r="CH18" s="4">
        <v>0</v>
      </c>
      <c r="CI18" s="5">
        <v>0</v>
      </c>
      <c r="CJ18" s="20">
        <v>0</v>
      </c>
      <c r="CK18" s="5">
        <v>0</v>
      </c>
      <c r="CL18" s="5">
        <v>0</v>
      </c>
      <c r="CM18" s="5">
        <v>0</v>
      </c>
      <c r="CN18" s="6">
        <v>0</v>
      </c>
      <c r="CO18" s="4">
        <v>36</v>
      </c>
      <c r="CP18" s="5">
        <v>171.89</v>
      </c>
      <c r="CQ18" s="20">
        <v>0</v>
      </c>
      <c r="CR18" s="5">
        <v>12.92</v>
      </c>
      <c r="CS18" s="5">
        <v>262.27999999999997</v>
      </c>
      <c r="CT18" s="5">
        <v>85.6</v>
      </c>
      <c r="CU18" s="6">
        <v>0</v>
      </c>
    </row>
    <row r="19" spans="1:99" x14ac:dyDescent="0.25">
      <c r="A19" s="10" t="s">
        <v>37</v>
      </c>
      <c r="B19" s="11">
        <f>SUM(B6+B7+B14+B15)</f>
        <v>2181</v>
      </c>
      <c r="C19" s="12">
        <f t="shared" ref="C19:BN19" si="0">SUM(C6+C7+C14+C15)</f>
        <v>0</v>
      </c>
      <c r="D19" s="21">
        <f t="shared" si="0"/>
        <v>22</v>
      </c>
      <c r="E19" s="12">
        <f t="shared" si="0"/>
        <v>4.29</v>
      </c>
      <c r="F19" s="12">
        <f t="shared" si="0"/>
        <v>83.07</v>
      </c>
      <c r="G19" s="12">
        <f t="shared" si="0"/>
        <v>47.4</v>
      </c>
      <c r="H19" s="13">
        <f t="shared" si="0"/>
        <v>0</v>
      </c>
      <c r="I19" s="11">
        <f t="shared" si="0"/>
        <v>3129</v>
      </c>
      <c r="J19" s="12">
        <f t="shared" si="0"/>
        <v>0</v>
      </c>
      <c r="K19" s="21">
        <f t="shared" si="0"/>
        <v>36</v>
      </c>
      <c r="L19" s="12">
        <f t="shared" si="0"/>
        <v>10.159999999999998</v>
      </c>
      <c r="M19" s="12">
        <f t="shared" si="0"/>
        <v>149.19</v>
      </c>
      <c r="N19" s="12">
        <f t="shared" si="0"/>
        <v>77.220000000000013</v>
      </c>
      <c r="O19" s="13">
        <f t="shared" si="0"/>
        <v>0</v>
      </c>
      <c r="P19" s="11">
        <f t="shared" si="0"/>
        <v>2427</v>
      </c>
      <c r="Q19" s="12">
        <f t="shared" si="0"/>
        <v>0</v>
      </c>
      <c r="R19" s="21">
        <f t="shared" si="0"/>
        <v>21</v>
      </c>
      <c r="S19" s="12">
        <f t="shared" si="0"/>
        <v>3</v>
      </c>
      <c r="T19" s="12">
        <f t="shared" si="0"/>
        <v>95.54</v>
      </c>
      <c r="U19" s="12">
        <f t="shared" si="0"/>
        <v>54.85</v>
      </c>
      <c r="V19" s="13">
        <f t="shared" si="0"/>
        <v>0</v>
      </c>
      <c r="W19" s="11">
        <f t="shared" si="0"/>
        <v>2804</v>
      </c>
      <c r="X19" s="12">
        <f t="shared" si="0"/>
        <v>0</v>
      </c>
      <c r="Y19" s="21">
        <f t="shared" si="0"/>
        <v>24</v>
      </c>
      <c r="Z19" s="12">
        <f t="shared" si="0"/>
        <v>4.5299999999999994</v>
      </c>
      <c r="AA19" s="12">
        <f t="shared" si="0"/>
        <v>760.17000000000019</v>
      </c>
      <c r="AB19" s="12">
        <f t="shared" si="0"/>
        <v>179.06</v>
      </c>
      <c r="AC19" s="13">
        <f t="shared" si="0"/>
        <v>0</v>
      </c>
      <c r="AD19" s="11">
        <f t="shared" si="0"/>
        <v>1907</v>
      </c>
      <c r="AE19" s="12">
        <f t="shared" si="0"/>
        <v>0</v>
      </c>
      <c r="AF19" s="21">
        <f t="shared" si="0"/>
        <v>15</v>
      </c>
      <c r="AG19" s="12">
        <f t="shared" si="0"/>
        <v>3.77</v>
      </c>
      <c r="AH19" s="12">
        <f t="shared" si="0"/>
        <v>64.78</v>
      </c>
      <c r="AI19" s="12">
        <f t="shared" si="0"/>
        <v>44.35</v>
      </c>
      <c r="AJ19" s="12">
        <f t="shared" si="0"/>
        <v>0</v>
      </c>
      <c r="AK19" s="11">
        <f t="shared" si="0"/>
        <v>2468</v>
      </c>
      <c r="AL19" s="12">
        <f t="shared" si="0"/>
        <v>0</v>
      </c>
      <c r="AM19" s="17">
        <f t="shared" si="0"/>
        <v>129</v>
      </c>
      <c r="AN19" s="12">
        <f t="shared" si="0"/>
        <v>225.17000000000002</v>
      </c>
      <c r="AO19" s="12">
        <f t="shared" si="0"/>
        <v>2779.77</v>
      </c>
      <c r="AP19" s="12">
        <f t="shared" si="0"/>
        <v>1139.72</v>
      </c>
      <c r="AQ19" s="12">
        <f t="shared" si="0"/>
        <v>283</v>
      </c>
      <c r="AR19" s="11">
        <f t="shared" si="0"/>
        <v>2065</v>
      </c>
      <c r="AS19" s="12">
        <f t="shared" si="0"/>
        <v>0</v>
      </c>
      <c r="AT19" s="21">
        <f t="shared" si="0"/>
        <v>46</v>
      </c>
      <c r="AU19" s="12">
        <f t="shared" si="0"/>
        <v>9.370000000000001</v>
      </c>
      <c r="AV19" s="12">
        <f t="shared" si="0"/>
        <v>128.51</v>
      </c>
      <c r="AW19" s="12">
        <f t="shared" si="0"/>
        <v>86.449999999999989</v>
      </c>
      <c r="AX19" s="13">
        <f t="shared" si="0"/>
        <v>0</v>
      </c>
      <c r="AY19" s="11">
        <f t="shared" si="0"/>
        <v>2518</v>
      </c>
      <c r="AZ19" s="12">
        <f t="shared" si="0"/>
        <v>0</v>
      </c>
      <c r="BA19" s="21">
        <f t="shared" si="0"/>
        <v>27</v>
      </c>
      <c r="BB19" s="12">
        <f t="shared" si="0"/>
        <v>22.119999999999997</v>
      </c>
      <c r="BC19" s="12">
        <f t="shared" si="0"/>
        <v>354.62</v>
      </c>
      <c r="BD19" s="12">
        <f t="shared" si="0"/>
        <v>135.43</v>
      </c>
      <c r="BE19" s="13">
        <f t="shared" si="0"/>
        <v>0</v>
      </c>
      <c r="BF19" s="11">
        <f t="shared" si="0"/>
        <v>3001</v>
      </c>
      <c r="BG19" s="12">
        <f t="shared" si="0"/>
        <v>0.03</v>
      </c>
      <c r="BH19" s="21">
        <f t="shared" si="0"/>
        <v>35</v>
      </c>
      <c r="BI19" s="12">
        <f t="shared" si="0"/>
        <v>12.02</v>
      </c>
      <c r="BJ19" s="12">
        <f t="shared" si="0"/>
        <v>210.44</v>
      </c>
      <c r="BK19" s="12">
        <f t="shared" si="0"/>
        <v>103.83</v>
      </c>
      <c r="BL19" s="13">
        <f t="shared" si="0"/>
        <v>0</v>
      </c>
      <c r="BM19" s="11">
        <f t="shared" si="0"/>
        <v>2949</v>
      </c>
      <c r="BN19" s="12">
        <f t="shared" si="0"/>
        <v>0</v>
      </c>
      <c r="BO19" s="21">
        <f t="shared" ref="BO19:CU19" si="1">SUM(BO6+BO7+BO14+BO15)</f>
        <v>40</v>
      </c>
      <c r="BP19" s="12">
        <f t="shared" si="1"/>
        <v>4.75</v>
      </c>
      <c r="BQ19" s="12">
        <f t="shared" si="1"/>
        <v>225.7</v>
      </c>
      <c r="BR19" s="12">
        <f t="shared" si="1"/>
        <v>71.48</v>
      </c>
      <c r="BS19" s="13">
        <f t="shared" si="1"/>
        <v>0</v>
      </c>
      <c r="BT19" s="11">
        <f t="shared" si="1"/>
        <v>3706</v>
      </c>
      <c r="BU19" s="12">
        <f t="shared" si="1"/>
        <v>0</v>
      </c>
      <c r="BV19" s="21">
        <f t="shared" si="1"/>
        <v>56</v>
      </c>
      <c r="BW19" s="12">
        <f t="shared" si="1"/>
        <v>35.950000000000003</v>
      </c>
      <c r="BX19" s="12">
        <f t="shared" si="1"/>
        <v>440.23</v>
      </c>
      <c r="BY19" s="12">
        <f t="shared" si="1"/>
        <v>152.26000000000002</v>
      </c>
      <c r="BZ19" s="13">
        <f t="shared" si="1"/>
        <v>0</v>
      </c>
      <c r="CA19" s="11">
        <f t="shared" si="1"/>
        <v>4029</v>
      </c>
      <c r="CB19" s="12">
        <f t="shared" si="1"/>
        <v>0</v>
      </c>
      <c r="CC19" s="21">
        <f t="shared" si="1"/>
        <v>55</v>
      </c>
      <c r="CD19" s="12">
        <f t="shared" si="1"/>
        <v>16.71</v>
      </c>
      <c r="CE19" s="12">
        <f t="shared" si="1"/>
        <v>254.07000000000002</v>
      </c>
      <c r="CF19" s="12">
        <f t="shared" si="1"/>
        <v>147.36000000000001</v>
      </c>
      <c r="CG19" s="13">
        <f t="shared" si="1"/>
        <v>0</v>
      </c>
      <c r="CH19" s="11">
        <f t="shared" si="1"/>
        <v>4076</v>
      </c>
      <c r="CI19" s="12">
        <f t="shared" si="1"/>
        <v>0</v>
      </c>
      <c r="CJ19" s="21">
        <f t="shared" si="1"/>
        <v>87</v>
      </c>
      <c r="CK19" s="12">
        <f t="shared" si="1"/>
        <v>26.54</v>
      </c>
      <c r="CL19" s="12">
        <f t="shared" si="1"/>
        <v>816.36000000000013</v>
      </c>
      <c r="CM19" s="12">
        <f t="shared" si="1"/>
        <v>224.51</v>
      </c>
      <c r="CN19" s="13">
        <f t="shared" si="1"/>
        <v>76</v>
      </c>
      <c r="CO19" s="11">
        <f t="shared" si="1"/>
        <v>0</v>
      </c>
      <c r="CP19" s="12">
        <f t="shared" si="1"/>
        <v>0</v>
      </c>
      <c r="CQ19" s="21">
        <f t="shared" si="1"/>
        <v>0</v>
      </c>
      <c r="CR19" s="12">
        <f t="shared" si="1"/>
        <v>0</v>
      </c>
      <c r="CS19" s="12">
        <f t="shared" si="1"/>
        <v>0</v>
      </c>
      <c r="CT19" s="12">
        <f t="shared" si="1"/>
        <v>0</v>
      </c>
      <c r="CU19" s="13">
        <f t="shared" si="1"/>
        <v>0</v>
      </c>
    </row>
    <row r="24" spans="1:99" x14ac:dyDescent="0.25">
      <c r="C24" s="29" t="s">
        <v>38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1"/>
      <c r="Q24" s="29" t="s">
        <v>39</v>
      </c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1"/>
      <c r="AT24">
        <f>AM3+AM6+AM7-AM6-AM7-AT18</f>
        <v>13</v>
      </c>
    </row>
    <row r="25" spans="1:99" x14ac:dyDescent="0.25">
      <c r="C25" s="22">
        <v>45688</v>
      </c>
      <c r="D25" s="23">
        <v>45716</v>
      </c>
      <c r="E25" s="23">
        <v>45747</v>
      </c>
      <c r="F25" s="23">
        <v>45777</v>
      </c>
      <c r="G25" s="23">
        <v>45808</v>
      </c>
      <c r="H25" s="23">
        <v>45838</v>
      </c>
      <c r="I25" s="23">
        <v>45869</v>
      </c>
      <c r="J25" s="23">
        <v>45900</v>
      </c>
      <c r="K25" s="23">
        <v>45930</v>
      </c>
      <c r="L25" s="23">
        <v>45961</v>
      </c>
      <c r="M25" s="23">
        <v>45991</v>
      </c>
      <c r="N25" s="23">
        <v>46022</v>
      </c>
      <c r="O25" s="23">
        <v>46053</v>
      </c>
      <c r="P25" s="24">
        <v>46081</v>
      </c>
      <c r="Q25" s="22">
        <v>45688</v>
      </c>
      <c r="R25" s="25">
        <v>45716</v>
      </c>
      <c r="S25" s="25">
        <v>45747</v>
      </c>
      <c r="T25" s="25">
        <v>45777</v>
      </c>
      <c r="U25" s="25">
        <v>45808</v>
      </c>
      <c r="V25" s="25">
        <v>45838</v>
      </c>
      <c r="W25" s="25">
        <v>45869</v>
      </c>
      <c r="X25" s="25">
        <v>45900</v>
      </c>
      <c r="Y25" s="25">
        <v>45930</v>
      </c>
      <c r="Z25" s="25">
        <v>45961</v>
      </c>
      <c r="AA25" s="25">
        <v>45991</v>
      </c>
      <c r="AB25" s="25">
        <v>46022</v>
      </c>
      <c r="AC25" s="25">
        <v>46053</v>
      </c>
      <c r="AD25" s="24">
        <v>46081</v>
      </c>
    </row>
    <row r="26" spans="1:99" x14ac:dyDescent="0.25">
      <c r="A26" s="32" t="s">
        <v>23</v>
      </c>
      <c r="B26">
        <v>0</v>
      </c>
      <c r="C26" s="1">
        <v>1563</v>
      </c>
      <c r="D26">
        <v>1543</v>
      </c>
      <c r="E26">
        <v>1544</v>
      </c>
      <c r="F26">
        <v>1619</v>
      </c>
      <c r="G26">
        <v>1679</v>
      </c>
      <c r="H26">
        <v>1716</v>
      </c>
      <c r="I26">
        <v>1428</v>
      </c>
      <c r="J26">
        <v>1441</v>
      </c>
      <c r="K26">
        <v>1460</v>
      </c>
      <c r="L26">
        <v>1475</v>
      </c>
      <c r="M26">
        <v>1486</v>
      </c>
      <c r="N26">
        <v>1498</v>
      </c>
      <c r="O26">
        <v>1505</v>
      </c>
      <c r="P26" s="3">
        <v>1640</v>
      </c>
      <c r="Q26" s="1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3">
        <v>0</v>
      </c>
    </row>
    <row r="27" spans="1:99" x14ac:dyDescent="0.25">
      <c r="A27" s="32"/>
      <c r="B27">
        <v>1</v>
      </c>
      <c r="C27" s="1">
        <v>251</v>
      </c>
      <c r="D27">
        <v>259</v>
      </c>
      <c r="E27">
        <v>240</v>
      </c>
      <c r="F27">
        <v>255</v>
      </c>
      <c r="G27">
        <v>271</v>
      </c>
      <c r="H27">
        <v>281</v>
      </c>
      <c r="I27">
        <v>210</v>
      </c>
      <c r="J27">
        <v>211</v>
      </c>
      <c r="K27">
        <v>211</v>
      </c>
      <c r="L27">
        <v>215</v>
      </c>
      <c r="M27">
        <v>234</v>
      </c>
      <c r="N27">
        <v>213</v>
      </c>
      <c r="O27">
        <v>216</v>
      </c>
      <c r="P27" s="3">
        <v>233</v>
      </c>
      <c r="Q27" s="1">
        <v>129.72</v>
      </c>
      <c r="R27" s="2">
        <v>68.2</v>
      </c>
      <c r="S27" s="2">
        <v>63.07</v>
      </c>
      <c r="T27" s="2">
        <v>15.65</v>
      </c>
      <c r="U27" s="2">
        <v>42.15</v>
      </c>
      <c r="V27" s="2">
        <v>45.83</v>
      </c>
      <c r="W27" s="2">
        <v>36.369999999999997</v>
      </c>
      <c r="X27" s="2">
        <v>19.59</v>
      </c>
      <c r="Y27" s="2">
        <v>25.34</v>
      </c>
      <c r="Z27" s="2">
        <v>0.84000000000000008</v>
      </c>
      <c r="AA27" s="2">
        <v>9.8000000000000007</v>
      </c>
      <c r="AB27" s="2">
        <v>4.07</v>
      </c>
      <c r="AC27" s="2">
        <v>36.549999999999997</v>
      </c>
      <c r="AD27" s="3">
        <v>82.02</v>
      </c>
    </row>
    <row r="28" spans="1:99" x14ac:dyDescent="0.25">
      <c r="A28" s="32"/>
      <c r="B28">
        <v>2</v>
      </c>
      <c r="C28" s="1">
        <v>236</v>
      </c>
      <c r="D28">
        <v>232</v>
      </c>
      <c r="E28">
        <v>260</v>
      </c>
      <c r="F28">
        <v>253</v>
      </c>
      <c r="G28">
        <v>240</v>
      </c>
      <c r="H28">
        <v>228</v>
      </c>
      <c r="I28">
        <v>107</v>
      </c>
      <c r="J28">
        <v>110</v>
      </c>
      <c r="K28">
        <v>110</v>
      </c>
      <c r="L28">
        <v>110</v>
      </c>
      <c r="M28">
        <v>97</v>
      </c>
      <c r="N28">
        <v>126</v>
      </c>
      <c r="O28">
        <v>124</v>
      </c>
      <c r="P28" s="3">
        <v>124</v>
      </c>
      <c r="Q28" s="1">
        <v>1015.06</v>
      </c>
      <c r="R28" s="2">
        <v>1431.85</v>
      </c>
      <c r="S28" s="2">
        <v>1941.2</v>
      </c>
      <c r="T28" s="2">
        <v>2237.11</v>
      </c>
      <c r="U28" s="2">
        <v>2464.58</v>
      </c>
      <c r="V28" s="2">
        <v>2250.2800000000002</v>
      </c>
      <c r="W28" s="2">
        <v>1451.54</v>
      </c>
      <c r="X28" s="2">
        <v>1185.57</v>
      </c>
      <c r="Y28" s="2">
        <v>1057.32</v>
      </c>
      <c r="Z28" s="2">
        <v>2106.6</v>
      </c>
      <c r="AA28" s="2">
        <v>2027.41</v>
      </c>
      <c r="AB28" s="2">
        <v>1924.16</v>
      </c>
      <c r="AC28" s="2">
        <v>951.65</v>
      </c>
      <c r="AD28" s="3">
        <v>859.8</v>
      </c>
    </row>
    <row r="29" spans="1:99" x14ac:dyDescent="0.25">
      <c r="A29" s="32"/>
      <c r="B29">
        <v>3</v>
      </c>
      <c r="C29" s="1">
        <v>21</v>
      </c>
      <c r="D29">
        <v>29</v>
      </c>
      <c r="E29">
        <v>17</v>
      </c>
      <c r="F29">
        <v>21</v>
      </c>
      <c r="G29">
        <v>23</v>
      </c>
      <c r="H29">
        <v>24</v>
      </c>
      <c r="I29">
        <v>2</v>
      </c>
      <c r="J29">
        <v>1</v>
      </c>
      <c r="K29">
        <v>5</v>
      </c>
      <c r="L29">
        <v>5</v>
      </c>
      <c r="M29">
        <v>8</v>
      </c>
      <c r="N29">
        <v>1</v>
      </c>
      <c r="O29">
        <v>1</v>
      </c>
      <c r="P29" s="3">
        <v>4</v>
      </c>
      <c r="Q29" s="1">
        <v>176.95</v>
      </c>
      <c r="R29" s="2">
        <v>187.17</v>
      </c>
      <c r="S29" s="2">
        <v>58.63</v>
      </c>
      <c r="T29" s="2">
        <v>61.05</v>
      </c>
      <c r="U29" s="2">
        <v>42.26</v>
      </c>
      <c r="V29" s="2">
        <v>69</v>
      </c>
      <c r="W29" s="2">
        <v>195.12</v>
      </c>
      <c r="X29" s="2">
        <v>4.18</v>
      </c>
      <c r="Y29" s="2">
        <v>239.3</v>
      </c>
      <c r="Z29" s="2">
        <v>259.13</v>
      </c>
      <c r="AA29" s="2">
        <v>300.14999999999998</v>
      </c>
      <c r="AB29" s="2">
        <v>2.99</v>
      </c>
      <c r="AC29" s="2">
        <v>1.1100000000000001</v>
      </c>
      <c r="AD29" s="3">
        <v>109.43</v>
      </c>
    </row>
    <row r="30" spans="1:99" x14ac:dyDescent="0.25">
      <c r="A30" s="32"/>
      <c r="B30">
        <v>4</v>
      </c>
      <c r="C30" s="1">
        <v>29</v>
      </c>
      <c r="D30">
        <v>29</v>
      </c>
      <c r="E30">
        <v>29</v>
      </c>
      <c r="F30">
        <v>29</v>
      </c>
      <c r="G30">
        <v>26</v>
      </c>
      <c r="H30">
        <v>24</v>
      </c>
      <c r="I30">
        <v>3</v>
      </c>
      <c r="J30">
        <v>2</v>
      </c>
      <c r="K30">
        <v>1</v>
      </c>
      <c r="L30">
        <v>3</v>
      </c>
      <c r="M30">
        <v>2</v>
      </c>
      <c r="N30">
        <v>5</v>
      </c>
      <c r="O30">
        <v>5</v>
      </c>
      <c r="P30" s="3">
        <v>5</v>
      </c>
      <c r="Q30" s="1">
        <v>499.21</v>
      </c>
      <c r="R30" s="2">
        <v>424.45</v>
      </c>
      <c r="S30" s="2">
        <v>310.31</v>
      </c>
      <c r="T30" s="2">
        <v>306</v>
      </c>
      <c r="U30" s="2">
        <v>284.7</v>
      </c>
      <c r="V30" s="2">
        <v>274.3</v>
      </c>
      <c r="W30" s="2">
        <v>6.82</v>
      </c>
      <c r="X30" s="2">
        <v>3.66</v>
      </c>
      <c r="Y30" s="2">
        <v>0</v>
      </c>
      <c r="Z30" s="2">
        <v>120.73</v>
      </c>
      <c r="AA30" s="2">
        <v>0</v>
      </c>
      <c r="AB30" s="2">
        <v>283.39</v>
      </c>
      <c r="AC30" s="2">
        <v>308.64</v>
      </c>
      <c r="AD30" s="3">
        <v>309.02999999999997</v>
      </c>
    </row>
    <row r="31" spans="1:99" x14ac:dyDescent="0.25">
      <c r="A31" s="32"/>
      <c r="B31">
        <v>5</v>
      </c>
      <c r="C31" s="1">
        <v>100</v>
      </c>
      <c r="D31">
        <v>102</v>
      </c>
      <c r="E31">
        <v>107</v>
      </c>
      <c r="F31">
        <v>105</v>
      </c>
      <c r="G31">
        <v>109</v>
      </c>
      <c r="H31">
        <v>111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14</v>
      </c>
      <c r="O31">
        <v>15</v>
      </c>
      <c r="P31" s="3">
        <v>13</v>
      </c>
      <c r="Q31" s="1">
        <v>114.74</v>
      </c>
      <c r="R31" s="2">
        <v>117.89</v>
      </c>
      <c r="S31" s="2">
        <v>145.31</v>
      </c>
      <c r="T31" s="2">
        <v>76.489999999999995</v>
      </c>
      <c r="U31" s="2">
        <v>101.9</v>
      </c>
      <c r="V31" s="2">
        <v>131.86000000000001</v>
      </c>
      <c r="W31" s="2">
        <v>19.05</v>
      </c>
      <c r="X31" s="2">
        <v>19.05</v>
      </c>
      <c r="Y31" s="2">
        <v>19.05</v>
      </c>
      <c r="Z31" s="2">
        <v>25.65</v>
      </c>
      <c r="AA31" s="2">
        <v>25.65</v>
      </c>
      <c r="AB31" s="2">
        <v>25.65</v>
      </c>
      <c r="AC31" s="2">
        <v>32.25</v>
      </c>
      <c r="AD31" s="3">
        <v>32.25</v>
      </c>
    </row>
    <row r="32" spans="1:99" x14ac:dyDescent="0.25">
      <c r="B32" t="s">
        <v>16</v>
      </c>
      <c r="C32" s="1">
        <f>SUM(C29:C31)</f>
        <v>150</v>
      </c>
      <c r="D32" s="1">
        <f t="shared" ref="D32:AD32" si="2">SUM(D29:D31)</f>
        <v>160</v>
      </c>
      <c r="E32" s="1">
        <f t="shared" si="2"/>
        <v>153</v>
      </c>
      <c r="F32" s="1">
        <f t="shared" si="2"/>
        <v>155</v>
      </c>
      <c r="G32" s="1">
        <f t="shared" si="2"/>
        <v>158</v>
      </c>
      <c r="H32" s="1">
        <f t="shared" si="2"/>
        <v>159</v>
      </c>
      <c r="I32" s="1">
        <f t="shared" si="2"/>
        <v>17</v>
      </c>
      <c r="J32" s="1">
        <f t="shared" si="2"/>
        <v>15</v>
      </c>
      <c r="K32" s="1">
        <f t="shared" si="2"/>
        <v>18</v>
      </c>
      <c r="L32" s="1">
        <f t="shared" si="2"/>
        <v>20</v>
      </c>
      <c r="M32" s="1">
        <f t="shared" si="2"/>
        <v>22</v>
      </c>
      <c r="N32" s="1">
        <f t="shared" si="2"/>
        <v>20</v>
      </c>
      <c r="O32" s="1">
        <f t="shared" si="2"/>
        <v>21</v>
      </c>
      <c r="P32" s="1">
        <f t="shared" si="2"/>
        <v>22</v>
      </c>
      <c r="Q32" s="1">
        <f t="shared" si="2"/>
        <v>790.9</v>
      </c>
      <c r="R32" s="1">
        <f t="shared" si="2"/>
        <v>729.51</v>
      </c>
      <c r="S32" s="1">
        <f t="shared" si="2"/>
        <v>514.25</v>
      </c>
      <c r="T32" s="1">
        <f t="shared" si="2"/>
        <v>443.54</v>
      </c>
      <c r="U32" s="1">
        <f t="shared" si="2"/>
        <v>428.86</v>
      </c>
      <c r="V32" s="1">
        <f t="shared" si="2"/>
        <v>475.16</v>
      </c>
      <c r="W32" s="1">
        <f t="shared" si="2"/>
        <v>220.99</v>
      </c>
      <c r="X32" s="1">
        <f t="shared" si="2"/>
        <v>26.89</v>
      </c>
      <c r="Y32" s="1">
        <f t="shared" si="2"/>
        <v>258.35000000000002</v>
      </c>
      <c r="Z32" s="1">
        <f t="shared" si="2"/>
        <v>405.51</v>
      </c>
      <c r="AA32" s="1">
        <f t="shared" si="2"/>
        <v>325.79999999999995</v>
      </c>
      <c r="AB32" s="1">
        <f t="shared" si="2"/>
        <v>312.02999999999997</v>
      </c>
      <c r="AC32" s="1">
        <f t="shared" si="2"/>
        <v>342</v>
      </c>
      <c r="AD32" s="26">
        <f t="shared" si="2"/>
        <v>450.71</v>
      </c>
    </row>
    <row r="33" spans="1:30" x14ac:dyDescent="0.25">
      <c r="C33" s="1"/>
      <c r="D33" s="2">
        <f>D32-C32</f>
        <v>10</v>
      </c>
      <c r="E33" s="2">
        <f t="shared" ref="E33:R33" si="3">E32-D32</f>
        <v>-7</v>
      </c>
      <c r="F33" s="2">
        <f t="shared" si="3"/>
        <v>2</v>
      </c>
      <c r="G33" s="2">
        <f t="shared" si="3"/>
        <v>3</v>
      </c>
      <c r="H33" s="2">
        <f t="shared" si="3"/>
        <v>1</v>
      </c>
      <c r="I33" s="2">
        <f t="shared" si="3"/>
        <v>-142</v>
      </c>
      <c r="J33" s="2">
        <f t="shared" si="3"/>
        <v>-2</v>
      </c>
      <c r="K33" s="2">
        <f t="shared" si="3"/>
        <v>3</v>
      </c>
      <c r="L33" s="2">
        <f t="shared" si="3"/>
        <v>2</v>
      </c>
      <c r="M33" s="2">
        <f t="shared" si="3"/>
        <v>2</v>
      </c>
      <c r="N33" s="2">
        <f t="shared" si="3"/>
        <v>-2</v>
      </c>
      <c r="O33" s="2">
        <f t="shared" si="3"/>
        <v>1</v>
      </c>
      <c r="P33" s="2">
        <f t="shared" si="3"/>
        <v>1</v>
      </c>
      <c r="Q33" s="1"/>
      <c r="R33" s="2">
        <f t="shared" si="3"/>
        <v>-61.389999999999986</v>
      </c>
      <c r="S33" s="2">
        <f t="shared" ref="S33" si="4">S32-R32</f>
        <v>-215.26</v>
      </c>
      <c r="T33" s="2">
        <f t="shared" ref="T33" si="5">T32-S32</f>
        <v>-70.70999999999998</v>
      </c>
      <c r="U33" s="2">
        <f t="shared" ref="U33" si="6">U32-T32</f>
        <v>-14.680000000000007</v>
      </c>
      <c r="V33" s="2">
        <f t="shared" ref="V33" si="7">V32-U32</f>
        <v>46.300000000000011</v>
      </c>
      <c r="W33" s="2">
        <f t="shared" ref="W33" si="8">W32-V32</f>
        <v>-254.17000000000002</v>
      </c>
      <c r="X33" s="2">
        <f t="shared" ref="X33" si="9">X32-W32</f>
        <v>-194.10000000000002</v>
      </c>
      <c r="Y33" s="2">
        <f t="shared" ref="Y33" si="10">Y32-X32</f>
        <v>231.46000000000004</v>
      </c>
      <c r="Z33" s="2">
        <f t="shared" ref="Z33" si="11">Z32-Y32</f>
        <v>147.15999999999997</v>
      </c>
      <c r="AA33" s="2">
        <f t="shared" ref="AA33" si="12">AA32-Z32</f>
        <v>-79.710000000000036</v>
      </c>
      <c r="AB33" s="2">
        <f t="shared" ref="AB33" si="13">AB32-AA32</f>
        <v>-13.769999999999982</v>
      </c>
      <c r="AC33" s="2">
        <f t="shared" ref="AC33" si="14">AC32-AB32</f>
        <v>29.970000000000027</v>
      </c>
      <c r="AD33" s="2">
        <f t="shared" ref="AD33" si="15">AD32-AC32</f>
        <v>108.70999999999998</v>
      </c>
    </row>
    <row r="34" spans="1:30" x14ac:dyDescent="0.25">
      <c r="A34" s="32" t="s">
        <v>21</v>
      </c>
      <c r="B34">
        <v>0</v>
      </c>
      <c r="C34" s="1">
        <v>39782</v>
      </c>
      <c r="D34">
        <v>39920</v>
      </c>
      <c r="E34">
        <v>38838</v>
      </c>
      <c r="F34">
        <v>39102</v>
      </c>
      <c r="G34">
        <v>38801</v>
      </c>
      <c r="H34">
        <v>39792</v>
      </c>
      <c r="I34">
        <v>41438</v>
      </c>
      <c r="J34">
        <v>43555</v>
      </c>
      <c r="K34">
        <v>45179</v>
      </c>
      <c r="L34">
        <v>45959</v>
      </c>
      <c r="M34">
        <v>45955</v>
      </c>
      <c r="N34">
        <v>45443</v>
      </c>
      <c r="O34">
        <v>43886</v>
      </c>
      <c r="P34" s="3">
        <v>42037</v>
      </c>
      <c r="Q34" s="1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3">
        <v>0</v>
      </c>
    </row>
    <row r="35" spans="1:30" x14ac:dyDescent="0.25">
      <c r="A35" s="32"/>
      <c r="B35">
        <v>1</v>
      </c>
      <c r="C35" s="1">
        <v>4135</v>
      </c>
      <c r="D35">
        <v>4147</v>
      </c>
      <c r="E35">
        <v>4253</v>
      </c>
      <c r="F35">
        <v>4548</v>
      </c>
      <c r="G35">
        <v>4796</v>
      </c>
      <c r="H35">
        <v>5076</v>
      </c>
      <c r="I35">
        <v>5504</v>
      </c>
      <c r="J35">
        <v>5724</v>
      </c>
      <c r="K35">
        <v>6006</v>
      </c>
      <c r="L35">
        <v>6353</v>
      </c>
      <c r="M35">
        <v>6582</v>
      </c>
      <c r="N35">
        <v>6678</v>
      </c>
      <c r="O35">
        <v>6644</v>
      </c>
      <c r="P35" s="3">
        <v>6596</v>
      </c>
      <c r="Q35" s="1">
        <v>6.35</v>
      </c>
      <c r="R35" s="2">
        <v>3.44</v>
      </c>
      <c r="S35" s="2">
        <v>6.88</v>
      </c>
      <c r="T35" s="2">
        <v>3.88</v>
      </c>
      <c r="U35" s="2">
        <v>10.78</v>
      </c>
      <c r="V35" s="2">
        <v>5.42</v>
      </c>
      <c r="W35" s="2">
        <v>30.24</v>
      </c>
      <c r="X35" s="2">
        <v>22.94</v>
      </c>
      <c r="Y35" s="2">
        <v>8.32</v>
      </c>
      <c r="Z35" s="2">
        <v>27.63</v>
      </c>
      <c r="AA35" s="2">
        <v>13.3</v>
      </c>
      <c r="AB35" s="2">
        <v>6.66</v>
      </c>
      <c r="AC35" s="2">
        <v>17.829999999999998</v>
      </c>
      <c r="AD35" s="3">
        <v>22.3</v>
      </c>
    </row>
    <row r="36" spans="1:30" x14ac:dyDescent="0.25">
      <c r="A36" s="32"/>
      <c r="B36">
        <v>2</v>
      </c>
      <c r="C36" s="1">
        <v>324</v>
      </c>
      <c r="D36">
        <v>420</v>
      </c>
      <c r="E36">
        <v>520</v>
      </c>
      <c r="F36">
        <v>462</v>
      </c>
      <c r="G36">
        <v>440</v>
      </c>
      <c r="H36">
        <v>422</v>
      </c>
      <c r="I36">
        <v>449</v>
      </c>
      <c r="J36">
        <v>539</v>
      </c>
      <c r="K36">
        <v>508</v>
      </c>
      <c r="L36">
        <v>491</v>
      </c>
      <c r="M36">
        <v>495</v>
      </c>
      <c r="N36">
        <v>590</v>
      </c>
      <c r="O36">
        <v>590</v>
      </c>
      <c r="P36" s="3">
        <v>662</v>
      </c>
      <c r="Q36" s="1">
        <v>17.64</v>
      </c>
      <c r="R36" s="2">
        <v>19.95</v>
      </c>
      <c r="S36" s="2">
        <v>18.190000000000001</v>
      </c>
      <c r="T36" s="2">
        <v>18.25</v>
      </c>
      <c r="U36" s="2">
        <v>15.28</v>
      </c>
      <c r="V36" s="2">
        <v>15.94</v>
      </c>
      <c r="W36" s="2">
        <v>184.72</v>
      </c>
      <c r="X36" s="2">
        <v>167.06</v>
      </c>
      <c r="Y36" s="2">
        <v>141.41</v>
      </c>
      <c r="Z36" s="2">
        <v>56.66</v>
      </c>
      <c r="AA36" s="2">
        <v>156.6</v>
      </c>
      <c r="AB36" s="2">
        <v>118.16</v>
      </c>
      <c r="AC36" s="2">
        <v>201.9</v>
      </c>
      <c r="AD36" s="3">
        <v>113.67</v>
      </c>
    </row>
    <row r="37" spans="1:30" x14ac:dyDescent="0.25">
      <c r="A37" s="32"/>
      <c r="B37">
        <v>3</v>
      </c>
      <c r="C37" s="1">
        <v>60</v>
      </c>
      <c r="D37">
        <v>71</v>
      </c>
      <c r="E37">
        <v>63</v>
      </c>
      <c r="F37">
        <v>75</v>
      </c>
      <c r="G37">
        <v>70</v>
      </c>
      <c r="H37">
        <v>79</v>
      </c>
      <c r="I37">
        <v>122</v>
      </c>
      <c r="J37">
        <v>67</v>
      </c>
      <c r="K37">
        <v>68</v>
      </c>
      <c r="L37">
        <v>84</v>
      </c>
      <c r="M37">
        <v>78</v>
      </c>
      <c r="N37">
        <v>51</v>
      </c>
      <c r="O37">
        <v>56</v>
      </c>
      <c r="P37" s="3">
        <v>52</v>
      </c>
      <c r="Q37" s="1">
        <v>9.34</v>
      </c>
      <c r="R37" s="2">
        <v>10.61</v>
      </c>
      <c r="S37" s="2">
        <v>9.7100000000000009</v>
      </c>
      <c r="T37" s="2">
        <v>11.69</v>
      </c>
      <c r="U37" s="2">
        <v>13.55</v>
      </c>
      <c r="V37" s="2">
        <v>17.54</v>
      </c>
      <c r="W37" s="2">
        <v>68.5</v>
      </c>
      <c r="X37" s="2">
        <v>66.03</v>
      </c>
      <c r="Y37" s="2">
        <v>56.05</v>
      </c>
      <c r="Z37" s="2">
        <v>96.06</v>
      </c>
      <c r="AA37" s="2">
        <v>30.23</v>
      </c>
      <c r="AB37" s="2">
        <v>15.56</v>
      </c>
      <c r="AC37" s="2">
        <v>55.45</v>
      </c>
      <c r="AD37" s="3">
        <v>137.27000000000001</v>
      </c>
    </row>
    <row r="38" spans="1:30" x14ac:dyDescent="0.25">
      <c r="A38" s="32"/>
      <c r="B38">
        <v>4</v>
      </c>
      <c r="C38" s="1">
        <v>26</v>
      </c>
      <c r="D38">
        <v>25</v>
      </c>
      <c r="E38">
        <v>24</v>
      </c>
      <c r="F38">
        <v>35</v>
      </c>
      <c r="G38">
        <v>29</v>
      </c>
      <c r="H38">
        <v>34</v>
      </c>
      <c r="I38">
        <v>57</v>
      </c>
      <c r="J38">
        <v>50</v>
      </c>
      <c r="K38">
        <v>54</v>
      </c>
      <c r="L38">
        <v>54</v>
      </c>
      <c r="M38">
        <v>54</v>
      </c>
      <c r="N38">
        <v>49</v>
      </c>
      <c r="O38">
        <v>41</v>
      </c>
      <c r="P38" s="3">
        <v>34</v>
      </c>
      <c r="Q38" s="1">
        <v>15.93</v>
      </c>
      <c r="R38" s="2">
        <v>16.88</v>
      </c>
      <c r="S38" s="2">
        <v>11.44</v>
      </c>
      <c r="T38" s="2">
        <v>12.17</v>
      </c>
      <c r="U38" s="2">
        <v>7.74</v>
      </c>
      <c r="V38" s="2">
        <v>6.33</v>
      </c>
      <c r="W38" s="2">
        <v>16.22</v>
      </c>
      <c r="X38" s="2">
        <v>21.17</v>
      </c>
      <c r="Y38" s="2">
        <v>29.18</v>
      </c>
      <c r="Z38" s="2">
        <v>31.35</v>
      </c>
      <c r="AA38" s="2">
        <v>37.97</v>
      </c>
      <c r="AB38" s="2">
        <v>15.56</v>
      </c>
      <c r="AC38" s="2">
        <v>24.35</v>
      </c>
      <c r="AD38" s="3">
        <v>21.85</v>
      </c>
    </row>
    <row r="39" spans="1:30" x14ac:dyDescent="0.25">
      <c r="A39" s="32"/>
      <c r="B39">
        <v>5</v>
      </c>
      <c r="C39" s="4">
        <v>84</v>
      </c>
      <c r="D39" s="5">
        <v>89</v>
      </c>
      <c r="E39" s="5">
        <v>75</v>
      </c>
      <c r="F39" s="5">
        <v>74</v>
      </c>
      <c r="G39" s="5">
        <v>79</v>
      </c>
      <c r="H39" s="5">
        <v>96</v>
      </c>
      <c r="I39" s="5">
        <v>125</v>
      </c>
      <c r="J39" s="5">
        <v>140</v>
      </c>
      <c r="K39" s="5">
        <v>169</v>
      </c>
      <c r="L39" s="5">
        <v>181</v>
      </c>
      <c r="M39" s="5">
        <v>217</v>
      </c>
      <c r="N39" s="5">
        <v>198</v>
      </c>
      <c r="O39" s="5">
        <v>175</v>
      </c>
      <c r="P39" s="6">
        <v>129</v>
      </c>
      <c r="Q39" s="4">
        <v>7.87</v>
      </c>
      <c r="R39" s="5">
        <v>8.85</v>
      </c>
      <c r="S39" s="5">
        <v>4.74</v>
      </c>
      <c r="T39" s="5">
        <v>1.76</v>
      </c>
      <c r="U39" s="5">
        <v>2.14</v>
      </c>
      <c r="V39" s="5">
        <v>2.56</v>
      </c>
      <c r="W39" s="5">
        <v>6.66</v>
      </c>
      <c r="X39" s="5">
        <v>7.12</v>
      </c>
      <c r="Y39" s="5">
        <v>9.24</v>
      </c>
      <c r="Z39" s="5">
        <v>17.95</v>
      </c>
      <c r="AA39" s="5">
        <v>24.39</v>
      </c>
      <c r="AB39" s="5">
        <v>27.83</v>
      </c>
      <c r="AC39" s="5">
        <v>17.190000000000001</v>
      </c>
      <c r="AD39" s="6">
        <v>17.23</v>
      </c>
    </row>
    <row r="40" spans="1:30" x14ac:dyDescent="0.25">
      <c r="C40" s="1">
        <f>SUM(C37:C39)</f>
        <v>170</v>
      </c>
      <c r="D40" s="1">
        <f t="shared" ref="D40:AD40" si="16">SUM(D37:D39)</f>
        <v>185</v>
      </c>
      <c r="E40" s="1">
        <f t="shared" si="16"/>
        <v>162</v>
      </c>
      <c r="F40" s="1">
        <f t="shared" si="16"/>
        <v>184</v>
      </c>
      <c r="G40" s="1">
        <f t="shared" si="16"/>
        <v>178</v>
      </c>
      <c r="H40" s="1">
        <f t="shared" si="16"/>
        <v>209</v>
      </c>
      <c r="I40" s="1">
        <f t="shared" si="16"/>
        <v>304</v>
      </c>
      <c r="J40" s="1">
        <f t="shared" si="16"/>
        <v>257</v>
      </c>
      <c r="K40" s="1">
        <f t="shared" si="16"/>
        <v>291</v>
      </c>
      <c r="L40" s="1">
        <f t="shared" si="16"/>
        <v>319</v>
      </c>
      <c r="M40" s="1">
        <f t="shared" si="16"/>
        <v>349</v>
      </c>
      <c r="N40" s="1">
        <f t="shared" si="16"/>
        <v>298</v>
      </c>
      <c r="O40" s="1">
        <f t="shared" si="16"/>
        <v>272</v>
      </c>
      <c r="P40" s="1">
        <f t="shared" si="16"/>
        <v>215</v>
      </c>
      <c r="Q40" s="1">
        <f t="shared" si="16"/>
        <v>33.14</v>
      </c>
      <c r="R40" s="1">
        <f t="shared" si="16"/>
        <v>36.339999999999996</v>
      </c>
      <c r="S40" s="1">
        <f t="shared" si="16"/>
        <v>25.89</v>
      </c>
      <c r="T40" s="1">
        <f t="shared" si="16"/>
        <v>25.62</v>
      </c>
      <c r="U40" s="1">
        <f t="shared" si="16"/>
        <v>23.43</v>
      </c>
      <c r="V40" s="1">
        <f t="shared" si="16"/>
        <v>26.429999999999996</v>
      </c>
      <c r="W40" s="1">
        <f t="shared" si="16"/>
        <v>91.38</v>
      </c>
      <c r="X40" s="1">
        <f t="shared" si="16"/>
        <v>94.320000000000007</v>
      </c>
      <c r="Y40" s="1">
        <f t="shared" si="16"/>
        <v>94.469999999999985</v>
      </c>
      <c r="Z40" s="1">
        <f t="shared" si="16"/>
        <v>145.35999999999999</v>
      </c>
      <c r="AA40" s="1">
        <f t="shared" si="16"/>
        <v>92.59</v>
      </c>
      <c r="AB40" s="1">
        <f t="shared" si="16"/>
        <v>58.95</v>
      </c>
      <c r="AC40" s="1">
        <f t="shared" si="16"/>
        <v>96.990000000000009</v>
      </c>
      <c r="AD40" s="1">
        <f t="shared" si="16"/>
        <v>176.35</v>
      </c>
    </row>
  </sheetData>
  <mergeCells count="18">
    <mergeCell ref="AY1:BE1"/>
    <mergeCell ref="CO1:CU1"/>
    <mergeCell ref="BF1:BL1"/>
    <mergeCell ref="AD1:AJ1"/>
    <mergeCell ref="P1:V1"/>
    <mergeCell ref="AK1:AQ1"/>
    <mergeCell ref="W1:AC1"/>
    <mergeCell ref="BT1:BZ1"/>
    <mergeCell ref="AR1:AX1"/>
    <mergeCell ref="CH1:CN1"/>
    <mergeCell ref="BM1:BS1"/>
    <mergeCell ref="CA1:CG1"/>
    <mergeCell ref="C24:P24"/>
    <mergeCell ref="Q24:AD24"/>
    <mergeCell ref="A26:A31"/>
    <mergeCell ref="A34:A39"/>
    <mergeCell ref="B1:H1"/>
    <mergeCell ref="I1:O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Nodirbek Sh. Zayniyev</cp:lastModifiedBy>
  <dcterms:created xsi:type="dcterms:W3CDTF">2026-04-07T09:49:20Z</dcterms:created>
  <dcterms:modified xsi:type="dcterms:W3CDTF">2026-04-08T13:22:09Z</dcterms:modified>
</cp:coreProperties>
</file>